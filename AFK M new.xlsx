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11760"/>
  </bookViews>
  <sheets>
    <sheet name="wgt" sheetId="1" r:id="rId1"/>
    <sheet name="no of sh" sheetId="3" r:id="rId2"/>
    <sheet name="mkt val" sheetId="4" r:id="rId3"/>
  </sheets>
  <definedNames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41733.7145717593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45621"/>
</workbook>
</file>

<file path=xl/calcChain.xml><?xml version="1.0" encoding="utf-8"?>
<calcChain xmlns="http://schemas.openxmlformats.org/spreadsheetml/2006/main">
  <c r="G31" i="1" l="1"/>
  <c r="G17" i="1"/>
  <c r="G33" i="1"/>
  <c r="G38" i="1"/>
  <c r="G21" i="1"/>
  <c r="G52" i="1"/>
  <c r="G44" i="1"/>
  <c r="G27" i="1"/>
  <c r="G41" i="1"/>
  <c r="G19" i="1"/>
  <c r="G25" i="1"/>
  <c r="G50" i="1"/>
  <c r="G14" i="1"/>
  <c r="G34" i="1"/>
  <c r="G32" i="1"/>
  <c r="G2" i="1"/>
  <c r="G29" i="1"/>
  <c r="G35" i="1"/>
  <c r="G13" i="1"/>
  <c r="G11" i="1"/>
  <c r="G20" i="1"/>
  <c r="G42" i="1"/>
  <c r="G49" i="1"/>
  <c r="G28" i="1"/>
  <c r="G5" i="1"/>
  <c r="G54" i="1"/>
  <c r="G4" i="1"/>
  <c r="G37" i="1"/>
  <c r="G22" i="1"/>
  <c r="G7" i="1"/>
  <c r="G18" i="1"/>
  <c r="G6" i="1"/>
  <c r="G12" i="1"/>
  <c r="G53" i="1"/>
  <c r="G9" i="1"/>
  <c r="G26" i="1"/>
  <c r="G46" i="1"/>
  <c r="G48" i="1"/>
  <c r="G15" i="1"/>
  <c r="G51" i="1"/>
  <c r="G36" i="1"/>
  <c r="G30" i="1"/>
  <c r="G47" i="1"/>
  <c r="G23" i="1"/>
  <c r="G10" i="1"/>
  <c r="G40" i="1"/>
  <c r="G8" i="1"/>
  <c r="G24" i="1"/>
  <c r="G39" i="1"/>
  <c r="G3" i="1"/>
  <c r="G6" i="4"/>
  <c r="G26" i="4"/>
  <c r="G23" i="4"/>
  <c r="G7" i="4"/>
  <c r="G31" i="4"/>
  <c r="G47" i="4"/>
  <c r="G6" i="3"/>
  <c r="G2" i="4"/>
  <c r="G50" i="4"/>
  <c r="G54" i="4"/>
  <c r="G4" i="3"/>
  <c r="G25" i="4"/>
  <c r="G28" i="4"/>
  <c r="G18" i="3"/>
  <c r="G8" i="3"/>
  <c r="G7" i="3"/>
  <c r="G29" i="3"/>
  <c r="A1" i="1"/>
  <c r="G42" i="4"/>
  <c r="G15" i="3"/>
  <c r="G40" i="4"/>
  <c r="G47" i="3"/>
  <c r="G48" i="4"/>
  <c r="G46" i="3"/>
  <c r="G14" i="4"/>
  <c r="G15" i="4"/>
  <c r="G35" i="3"/>
  <c r="G9" i="4"/>
  <c r="G35" i="4"/>
  <c r="G40" i="3"/>
  <c r="G38" i="3"/>
  <c r="G2" i="3"/>
  <c r="G26" i="3"/>
  <c r="G31" i="3"/>
  <c r="G5" i="3"/>
  <c r="G13" i="4"/>
  <c r="G53" i="3"/>
  <c r="G49" i="3"/>
  <c r="G51" i="4"/>
  <c r="G21" i="4"/>
  <c r="G12" i="4"/>
  <c r="G27" i="3"/>
  <c r="G28" i="3"/>
  <c r="G20" i="4"/>
  <c r="G11" i="3"/>
  <c r="G8" i="4"/>
  <c r="G11" i="4"/>
  <c r="G52" i="4"/>
  <c r="G3" i="3"/>
  <c r="G49" i="4"/>
  <c r="G13" i="3"/>
  <c r="G52" i="3"/>
  <c r="G48" i="3"/>
  <c r="G51" i="3"/>
  <c r="G34" i="3"/>
  <c r="G30" i="4"/>
  <c r="G25" i="3"/>
  <c r="G18" i="4"/>
  <c r="G44" i="3"/>
  <c r="G36" i="4"/>
  <c r="G12" i="3"/>
  <c r="G17" i="4"/>
  <c r="G39" i="4"/>
  <c r="G46" i="4"/>
  <c r="G24" i="3"/>
  <c r="G23" i="3"/>
  <c r="G10" i="3"/>
  <c r="G4" i="4"/>
  <c r="G41" i="3"/>
  <c r="G42" i="3"/>
  <c r="G34" i="4"/>
  <c r="G30" i="3"/>
  <c r="G53" i="4"/>
  <c r="G21" i="3"/>
  <c r="G50" i="3"/>
  <c r="G24" i="4"/>
  <c r="G29" i="4"/>
  <c r="G37" i="4"/>
  <c r="G3" i="4"/>
  <c r="G19" i="3"/>
  <c r="G39" i="3"/>
  <c r="G5" i="4"/>
  <c r="G36" i="3"/>
  <c r="G17" i="3"/>
  <c r="G20" i="3"/>
  <c r="G37" i="3"/>
  <c r="G22" i="4"/>
  <c r="G32" i="3"/>
  <c r="G22" i="3"/>
  <c r="G33" i="4"/>
  <c r="G44" i="4"/>
  <c r="G14" i="3"/>
  <c r="G9" i="3"/>
  <c r="G54" i="3"/>
  <c r="G19" i="4"/>
  <c r="G41" i="4"/>
  <c r="G10" i="4"/>
  <c r="G33" i="3"/>
  <c r="G38" i="4"/>
  <c r="G32" i="4"/>
  <c r="G27" i="4"/>
  <c r="A1" i="4"/>
  <c r="A1" i="3"/>
  <c r="G45" i="4"/>
  <c r="G43" i="4"/>
  <c r="G45" i="3"/>
</calcChain>
</file>

<file path=xl/sharedStrings.xml><?xml version="1.0" encoding="utf-8"?>
<sst xmlns="http://schemas.openxmlformats.org/spreadsheetml/2006/main" count="324" uniqueCount="107">
  <si>
    <t>Name</t>
  </si>
  <si>
    <t>0P00007P0G</t>
  </si>
  <si>
    <t>0P0000BRA0</t>
  </si>
  <si>
    <t>0P000004LK</t>
  </si>
  <si>
    <t>0P0000BMNT</t>
  </si>
  <si>
    <t>0P0000BMDJ</t>
  </si>
  <si>
    <t>0P0000DLMU</t>
  </si>
  <si>
    <t>0P0000DLQA</t>
  </si>
  <si>
    <t>0P0000BA10</t>
  </si>
  <si>
    <t>0P0000BKUA</t>
  </si>
  <si>
    <t>0P0000AW0P</t>
  </si>
  <si>
    <t>0P0000DLQE</t>
  </si>
  <si>
    <t>0P0000B95Z</t>
  </si>
  <si>
    <t>0P0000DLTI</t>
  </si>
  <si>
    <t>0P0000CIUK</t>
  </si>
  <si>
    <t>0P0000CB9T</t>
  </si>
  <si>
    <t>0P0000AUZ4</t>
  </si>
  <si>
    <t>0P0000ASIP</t>
  </si>
  <si>
    <t>0P0000DLL3</t>
  </si>
  <si>
    <t>0P00005RTL</t>
  </si>
  <si>
    <t>0P0000AOWY</t>
  </si>
  <si>
    <t>0P0000B08L</t>
  </si>
  <si>
    <t>0P0000DLRU</t>
  </si>
  <si>
    <t>0P0000AMW6</t>
  </si>
  <si>
    <t>0P0000BAHK</t>
  </si>
  <si>
    <t>0P00005S35</t>
  </si>
  <si>
    <t>0P0000DLK0</t>
  </si>
  <si>
    <t>0P0000BIKN</t>
  </si>
  <si>
    <t>0P0000BNVL</t>
  </si>
  <si>
    <t>0P0000BG5L</t>
  </si>
  <si>
    <t>0P0000C65Q</t>
  </si>
  <si>
    <t>0P0000CM1D</t>
  </si>
  <si>
    <t>0P0000DLM3</t>
  </si>
  <si>
    <t>0P0000EONG</t>
  </si>
  <si>
    <t>0P0000DLS3</t>
  </si>
  <si>
    <t>0P0000DLMO</t>
  </si>
  <si>
    <t>0P0000B5MG</t>
  </si>
  <si>
    <t>0P0000CIDR</t>
  </si>
  <si>
    <t>0P0000DLRB</t>
  </si>
  <si>
    <t>0P0000DLON</t>
  </si>
  <si>
    <t>0P00007NY0</t>
  </si>
  <si>
    <t>0P0000BIYX</t>
  </si>
  <si>
    <t>0P00005S4K</t>
  </si>
  <si>
    <t>0P0000D5I7</t>
  </si>
  <si>
    <t>0P0000B4T4</t>
  </si>
  <si>
    <t>0P0000DLV7</t>
  </si>
  <si>
    <t>0P00007O3J</t>
  </si>
  <si>
    <t>0P00005SXJ</t>
  </si>
  <si>
    <t>0P0000D84N</t>
  </si>
  <si>
    <t>0P00007O1O</t>
  </si>
  <si>
    <t>0P0000NI06</t>
  </si>
  <si>
    <t>Tullow Oil PLC</t>
  </si>
  <si>
    <t>Maroc Telecom</t>
  </si>
  <si>
    <t>Randgold Resources, Ltd. ADR</t>
  </si>
  <si>
    <t>First Bank of Nigeria</t>
  </si>
  <si>
    <t>Attijariwafa bank</t>
  </si>
  <si>
    <t>Sasol, Ltd.</t>
  </si>
  <si>
    <t>Mtn Group Limited</t>
  </si>
  <si>
    <t>Mobile Telecommunications Company KSC</t>
  </si>
  <si>
    <t>Orascom Construction Industries</t>
  </si>
  <si>
    <t>Orascom Telecom Hldgs (S.A.E)</t>
  </si>
  <si>
    <t>Anglogold Ashanti Limited</t>
  </si>
  <si>
    <t>Nigerian Breweries</t>
  </si>
  <si>
    <t>Impala Platinum Hldgs Ltd</t>
  </si>
  <si>
    <t>Banque Marocaine du Commerce Exterieur</t>
  </si>
  <si>
    <t>Standard Bank Group Ltd</t>
  </si>
  <si>
    <t>Douja Promotion Grp Addoha</t>
  </si>
  <si>
    <t>Commercial International Bank (Egypt)</t>
  </si>
  <si>
    <t>Zenith Bank</t>
  </si>
  <si>
    <t>Gold Fields Limited</t>
  </si>
  <si>
    <t>First Quantum Minerals Ltd</t>
  </si>
  <si>
    <t>United Bank for Africa</t>
  </si>
  <si>
    <t>ONA</t>
  </si>
  <si>
    <t>Absa Group Limited</t>
  </si>
  <si>
    <t>Guaranty Tr Ban</t>
  </si>
  <si>
    <t>UBN - Union Bank of Nigeria</t>
  </si>
  <si>
    <t>Red Back Mining Inc.</t>
  </si>
  <si>
    <t>Naspers Ltd</t>
  </si>
  <si>
    <t>Equity Bank Ltd</t>
  </si>
  <si>
    <t>Intercontinental Bank</t>
  </si>
  <si>
    <t>Acergy SA</t>
  </si>
  <si>
    <t>PlatinumHabib Bank</t>
  </si>
  <si>
    <t>EFG Hermes Holding SAE</t>
  </si>
  <si>
    <t>Harmony Gold Mining Company Limited</t>
  </si>
  <si>
    <t>Talaat Moustafa Grp Holding</t>
  </si>
  <si>
    <t>Sanlam Limited</t>
  </si>
  <si>
    <t>Anglo Platinum, Ltd.</t>
  </si>
  <si>
    <t>Fidelity Bank</t>
  </si>
  <si>
    <t>Egypt Kuwait Holding</t>
  </si>
  <si>
    <t>Firstrand Limited</t>
  </si>
  <si>
    <t>Remgro, Ltd.</t>
  </si>
  <si>
    <t>AQUARIUS PLATINUM</t>
  </si>
  <si>
    <t>The BIDVest Grp Ltd</t>
  </si>
  <si>
    <t>Afribank Nigeria</t>
  </si>
  <si>
    <t>Ecobank Transnatl</t>
  </si>
  <si>
    <t>Equinox Minerals Limited</t>
  </si>
  <si>
    <t>Oando</t>
  </si>
  <si>
    <t>Oceanic Bank Int'l</t>
  </si>
  <si>
    <t>ArcelorMittal South Africa Ltd</t>
  </si>
  <si>
    <t>Central African Mining &amp; Exploration Company PLC</t>
  </si>
  <si>
    <t>Katanga Mining Limited</t>
  </si>
  <si>
    <t>Standard Bk Grp Limited</t>
  </si>
  <si>
    <t>British American Tobacco PLC</t>
  </si>
  <si>
    <t>REINET INVESTMENTS SCA, LUXEMBOURG</t>
  </si>
  <si>
    <t>Nasionale Pers Beperk-N Shs</t>
  </si>
  <si>
    <t>South Africa</t>
  </si>
  <si>
    <t>Nigeria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</si>
</sst>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,##0.00"/>
    <numFmt numFmtId="165" formatCode="#,##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quotePrefix="1" applyNumberForma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abSelected="1" workbookViewId="0">
      <selection activeCell="B16" sqref="B16"/>
    </sheetView>
  </sheetViews>
  <sheetFormatPr defaultRowHeight="15" x14ac:dyDescent="0.25"/>
  <cols>
    <col min="1" max="1" width="19.5703125" customWidth="1"/>
    <col min="2" max="2" width="24.7109375" customWidth="1"/>
    <col min="3" max="3" width="9.7109375" bestFit="1" customWidth="1"/>
    <col min="4" max="4" width="10.7109375" bestFit="1" customWidth="1"/>
    <col min="5" max="6" width="9.7109375" bestFit="1" customWidth="1"/>
    <col min="7" max="7" width="19.140625" customWidth="1"/>
  </cols>
  <sheetData>
    <row r="1" spans="1:7" x14ac:dyDescent="0.25">
      <c r="A1" s="1" t="str">
        <f>_xll.MSHOLDING("ARCX:AFK","SECID","7/10/2008","3/31/2009","Freq=M,HT=stocks,weight=true,name=true")</f>
        <v>SecID</v>
      </c>
      <c r="B1" s="2" t="s">
        <v>0</v>
      </c>
      <c r="C1" s="3">
        <v>39691</v>
      </c>
      <c r="D1" s="3">
        <v>39782</v>
      </c>
      <c r="E1" s="3">
        <v>39844</v>
      </c>
      <c r="F1" s="3">
        <v>39903</v>
      </c>
    </row>
    <row r="2" spans="1:7" x14ac:dyDescent="0.25">
      <c r="A2" s="2" t="s">
        <v>1</v>
      </c>
      <c r="B2" s="2" t="s">
        <v>51</v>
      </c>
      <c r="C2" s="4">
        <v>5.7351299999999998</v>
      </c>
      <c r="D2" s="4">
        <v>6.2605000000000004</v>
      </c>
      <c r="E2" s="4">
        <v>10.48404</v>
      </c>
      <c r="F2" s="4">
        <v>8.4909199999999991</v>
      </c>
      <c r="G2" s="1" t="str">
        <f>_xll.MSDP(A2,"Exchange_Country")</f>
        <v>United Kingdom</v>
      </c>
    </row>
    <row r="3" spans="1:7" x14ac:dyDescent="0.25">
      <c r="A3" s="2" t="s">
        <v>2</v>
      </c>
      <c r="B3" s="2" t="s">
        <v>52</v>
      </c>
      <c r="C3" s="4">
        <v>2.9519299999999999</v>
      </c>
      <c r="D3" s="4">
        <v>4.2283999999999997</v>
      </c>
      <c r="E3" s="4">
        <v>4.4519200000000003</v>
      </c>
      <c r="F3" s="4">
        <v>4.8536999999999999</v>
      </c>
      <c r="G3" s="1" t="str">
        <f>_xll.MSDP(A3,"Exchange_Country")</f>
        <v>-N/A</v>
      </c>
    </row>
    <row r="4" spans="1:7" x14ac:dyDescent="0.25">
      <c r="A4" s="2" t="s">
        <v>3</v>
      </c>
      <c r="B4" s="2" t="s">
        <v>53</v>
      </c>
      <c r="C4" s="4">
        <v>1.7775399999999999</v>
      </c>
      <c r="D4" s="4">
        <v>3.4861499999999999</v>
      </c>
      <c r="E4" s="4">
        <v>4.94123</v>
      </c>
      <c r="F4" s="4">
        <v>4.3517400000000004</v>
      </c>
      <c r="G4" s="1" t="str">
        <f>_xll.MSDP(A4,"Exchange_Country")</f>
        <v>United States</v>
      </c>
    </row>
    <row r="5" spans="1:7" x14ac:dyDescent="0.25">
      <c r="A5" s="2" t="s">
        <v>4</v>
      </c>
      <c r="B5" s="2" t="s">
        <v>54</v>
      </c>
      <c r="C5" s="4">
        <v>4.2797000000000001</v>
      </c>
      <c r="D5" s="4">
        <v>4.5651200000000003</v>
      </c>
      <c r="E5" s="4">
        <v>3.6467399999999999</v>
      </c>
      <c r="F5" s="4">
        <v>4.2520899999999999</v>
      </c>
      <c r="G5" s="1" t="str">
        <f>_xll.MSDP(A5,"Exchange_Country")</f>
        <v>Nigeria</v>
      </c>
    </row>
    <row r="6" spans="1:7" x14ac:dyDescent="0.25">
      <c r="A6" s="2" t="s">
        <v>5</v>
      </c>
      <c r="B6" s="2" t="s">
        <v>55</v>
      </c>
      <c r="C6" s="4">
        <v>2.6407400000000001</v>
      </c>
      <c r="D6" s="4">
        <v>3.39595</v>
      </c>
      <c r="E6" s="4">
        <v>3.49993</v>
      </c>
      <c r="F6" s="4">
        <v>3.8890400000000001</v>
      </c>
      <c r="G6" s="1" t="str">
        <f>_xll.MSDP(A6,"Exchange_Country")</f>
        <v>-N/A</v>
      </c>
    </row>
    <row r="7" spans="1:7" x14ac:dyDescent="0.25">
      <c r="A7" s="2" t="s">
        <v>6</v>
      </c>
      <c r="B7" s="2" t="s">
        <v>56</v>
      </c>
      <c r="C7" s="4">
        <v>4.77752</v>
      </c>
      <c r="D7" s="4">
        <v>4.4325200000000002</v>
      </c>
      <c r="E7" s="4">
        <v>3.97221</v>
      </c>
      <c r="F7" s="4">
        <v>3.57606</v>
      </c>
      <c r="G7" s="1" t="str">
        <f>_xll.MSDP(A7,"Exchange_Country")</f>
        <v>South Africa</v>
      </c>
    </row>
    <row r="8" spans="1:7" x14ac:dyDescent="0.25">
      <c r="A8" s="2" t="s">
        <v>7</v>
      </c>
      <c r="B8" s="2" t="s">
        <v>57</v>
      </c>
      <c r="C8" s="4">
        <v>3.0325799999999998</v>
      </c>
      <c r="D8" s="4">
        <v>3.6707000000000001</v>
      </c>
      <c r="E8" s="4">
        <v>3.47268</v>
      </c>
      <c r="F8" s="4">
        <v>3.3598499999999998</v>
      </c>
      <c r="G8" s="1" t="str">
        <f>_xll.MSDP(A8,"Exchange_Country")</f>
        <v>South Africa</v>
      </c>
    </row>
    <row r="9" spans="1:7" x14ac:dyDescent="0.25">
      <c r="A9" s="2" t="s">
        <v>8</v>
      </c>
      <c r="B9" s="2" t="s">
        <v>58</v>
      </c>
      <c r="C9" s="1"/>
      <c r="D9" s="1"/>
      <c r="E9" s="1"/>
      <c r="F9" s="4">
        <v>3.3113899999999998</v>
      </c>
      <c r="G9" s="1" t="str">
        <f>_xll.MSDP(A9,"Exchange_Country")</f>
        <v>Kuwait</v>
      </c>
    </row>
    <row r="10" spans="1:7" x14ac:dyDescent="0.25">
      <c r="A10" s="2" t="s">
        <v>9</v>
      </c>
      <c r="B10" s="2" t="s">
        <v>59</v>
      </c>
      <c r="C10" s="4">
        <v>3.7990499999999998</v>
      </c>
      <c r="D10" s="4">
        <v>2.5000599999999999</v>
      </c>
      <c r="E10" s="4">
        <v>2.6725400000000001</v>
      </c>
      <c r="F10" s="4">
        <v>3.2816399999999999</v>
      </c>
      <c r="G10" s="1" t="str">
        <f>_xll.MSDP(A10,"Exchange_Country")</f>
        <v>Egypt</v>
      </c>
    </row>
    <row r="11" spans="1:7" x14ac:dyDescent="0.25">
      <c r="A11" s="2" t="s">
        <v>10</v>
      </c>
      <c r="B11" s="2" t="s">
        <v>60</v>
      </c>
      <c r="C11" s="4">
        <v>3.8743099999999999</v>
      </c>
      <c r="D11" s="4">
        <v>2.8644599999999998</v>
      </c>
      <c r="E11" s="4">
        <v>3.1838799999999998</v>
      </c>
      <c r="F11" s="4">
        <v>3.26545</v>
      </c>
      <c r="G11" s="1" t="str">
        <f>_xll.MSDP(A11,"Exchange_Country")</f>
        <v>Egypt</v>
      </c>
    </row>
    <row r="12" spans="1:7" x14ac:dyDescent="0.25">
      <c r="A12" s="2" t="s">
        <v>11</v>
      </c>
      <c r="B12" s="2" t="s">
        <v>61</v>
      </c>
      <c r="C12" s="4">
        <v>1.43442</v>
      </c>
      <c r="D12" s="4">
        <v>2.0839300000000001</v>
      </c>
      <c r="E12" s="4">
        <v>2.8071000000000002</v>
      </c>
      <c r="F12" s="4">
        <v>2.9719199999999999</v>
      </c>
      <c r="G12" s="1" t="str">
        <f>_xll.MSDP(A12,"Exchange_Country")</f>
        <v>South Africa</v>
      </c>
    </row>
    <row r="13" spans="1:7" x14ac:dyDescent="0.25">
      <c r="A13" s="2" t="s">
        <v>12</v>
      </c>
      <c r="B13" s="2" t="s">
        <v>62</v>
      </c>
      <c r="C13" s="4">
        <v>2.0219200000000002</v>
      </c>
      <c r="D13" s="4">
        <v>2.1862699999999999</v>
      </c>
      <c r="E13" s="4">
        <v>2.3046500000000001</v>
      </c>
      <c r="F13" s="4">
        <v>2.9182700000000001</v>
      </c>
      <c r="G13" s="1" t="str">
        <f>_xll.MSDP(A13,"Exchange_Country")</f>
        <v>Nigeria</v>
      </c>
    </row>
    <row r="14" spans="1:7" x14ac:dyDescent="0.25">
      <c r="A14" s="2" t="s">
        <v>13</v>
      </c>
      <c r="B14" s="2" t="s">
        <v>63</v>
      </c>
      <c r="C14" s="4">
        <v>3.0965600000000002</v>
      </c>
      <c r="D14" s="4">
        <v>2.4335300000000002</v>
      </c>
      <c r="E14" s="4">
        <v>2.3318300000000001</v>
      </c>
      <c r="F14" s="4">
        <v>2.81948</v>
      </c>
      <c r="G14" s="1" t="str">
        <f>_xll.MSDP(A14,"Exchange_Country")</f>
        <v>South Africa</v>
      </c>
    </row>
    <row r="15" spans="1:7" x14ac:dyDescent="0.25">
      <c r="A15" s="2" t="s">
        <v>14</v>
      </c>
      <c r="B15" s="2" t="s">
        <v>64</v>
      </c>
      <c r="C15" s="4">
        <v>1.91998</v>
      </c>
      <c r="D15" s="4">
        <v>2.3631199999999999</v>
      </c>
      <c r="E15" s="4">
        <v>2.8477600000000001</v>
      </c>
      <c r="F15" s="4">
        <v>2.74701</v>
      </c>
      <c r="G15" s="1" t="str">
        <f>_xll.MSDP(A15,"Exchange_Country")</f>
        <v>-N/A</v>
      </c>
    </row>
    <row r="16" spans="1:7" x14ac:dyDescent="0.25">
      <c r="A16" s="1"/>
      <c r="B16" s="2" t="s">
        <v>65</v>
      </c>
      <c r="C16" s="1"/>
      <c r="D16" s="1"/>
      <c r="E16" s="1"/>
      <c r="F16" s="4">
        <v>2.6773799999999999</v>
      </c>
      <c r="G16" s="1" t="s">
        <v>105</v>
      </c>
    </row>
    <row r="17" spans="1:7" x14ac:dyDescent="0.25">
      <c r="A17" s="2" t="s">
        <v>15</v>
      </c>
      <c r="B17" s="2" t="s">
        <v>66</v>
      </c>
      <c r="C17" s="4">
        <v>2.18316</v>
      </c>
      <c r="D17" s="4">
        <v>1.77407</v>
      </c>
      <c r="E17" s="4">
        <v>1.71001</v>
      </c>
      <c r="F17" s="4">
        <v>2.3161700000000001</v>
      </c>
      <c r="G17" s="1" t="str">
        <f>_xll.MSDP(A17,"Exchange_Country")</f>
        <v>-N/A</v>
      </c>
    </row>
    <row r="18" spans="1:7" x14ac:dyDescent="0.25">
      <c r="A18" s="2" t="s">
        <v>16</v>
      </c>
      <c r="B18" s="2" t="s">
        <v>67</v>
      </c>
      <c r="C18" s="4">
        <v>1.3613</v>
      </c>
      <c r="D18" s="4">
        <v>1.6090500000000001</v>
      </c>
      <c r="E18" s="4">
        <v>2.2219799999999998</v>
      </c>
      <c r="F18" s="4">
        <v>2.16533</v>
      </c>
      <c r="G18" s="1" t="str">
        <f>_xll.MSDP(A18,"Exchange_Country")</f>
        <v>Egypt</v>
      </c>
    </row>
    <row r="19" spans="1:7" x14ac:dyDescent="0.25">
      <c r="A19" s="2" t="s">
        <v>17</v>
      </c>
      <c r="B19" s="2" t="s">
        <v>68</v>
      </c>
      <c r="C19" s="4">
        <v>3.7475100000000001</v>
      </c>
      <c r="D19" s="4">
        <v>3.1471800000000001</v>
      </c>
      <c r="E19" s="4">
        <v>2.0690499999999998</v>
      </c>
      <c r="F19" s="4">
        <v>2.12853</v>
      </c>
      <c r="G19" s="1" t="str">
        <f>_xll.MSDP(A19,"Exchange_Country")</f>
        <v>Nigeria</v>
      </c>
    </row>
    <row r="20" spans="1:7" x14ac:dyDescent="0.25">
      <c r="A20" s="2" t="s">
        <v>18</v>
      </c>
      <c r="B20" s="2" t="s">
        <v>69</v>
      </c>
      <c r="C20" s="4">
        <v>1.05088</v>
      </c>
      <c r="D20" s="4">
        <v>1.7813699999999999</v>
      </c>
      <c r="E20" s="4">
        <v>2.3610099999999998</v>
      </c>
      <c r="F20" s="4">
        <v>2.0853199999999998</v>
      </c>
      <c r="G20" s="1" t="str">
        <f>_xll.MSDP(A20,"Exchange_Country")</f>
        <v>South Africa</v>
      </c>
    </row>
    <row r="21" spans="1:7" x14ac:dyDescent="0.25">
      <c r="A21" s="2" t="s">
        <v>19</v>
      </c>
      <c r="B21" s="2" t="s">
        <v>70</v>
      </c>
      <c r="C21" s="4">
        <v>2.3389199999999999</v>
      </c>
      <c r="D21" s="4">
        <v>1.17008</v>
      </c>
      <c r="E21" s="4">
        <v>1.7466999999999999</v>
      </c>
      <c r="F21" s="4">
        <v>2.0186299999999999</v>
      </c>
      <c r="G21" s="1" t="str">
        <f>_xll.MSDP(A21,"Exchange_Country")</f>
        <v>Canada</v>
      </c>
    </row>
    <row r="22" spans="1:7" x14ac:dyDescent="0.25">
      <c r="A22" s="2" t="s">
        <v>20</v>
      </c>
      <c r="B22" s="2" t="s">
        <v>71</v>
      </c>
      <c r="C22" s="4">
        <v>2.40151</v>
      </c>
      <c r="D22" s="4">
        <v>2.2375699999999998</v>
      </c>
      <c r="E22" s="4">
        <v>1.33022</v>
      </c>
      <c r="F22" s="4">
        <v>1.68832</v>
      </c>
      <c r="G22" s="1" t="str">
        <f>_xll.MSDP(A22,"Exchange_Country")</f>
        <v>Nigeria</v>
      </c>
    </row>
    <row r="23" spans="1:7" x14ac:dyDescent="0.25">
      <c r="A23" s="2" t="s">
        <v>21</v>
      </c>
      <c r="B23" s="2" t="s">
        <v>72</v>
      </c>
      <c r="C23" s="4">
        <v>1.2447900000000001</v>
      </c>
      <c r="D23" s="4">
        <v>1.5327599999999999</v>
      </c>
      <c r="E23" s="4">
        <v>1.63249</v>
      </c>
      <c r="F23" s="4">
        <v>1.6834100000000001</v>
      </c>
      <c r="G23" s="1" t="str">
        <f>_xll.MSDP(A23,"Exchange_Country")</f>
        <v>-N/A</v>
      </c>
    </row>
    <row r="24" spans="1:7" x14ac:dyDescent="0.25">
      <c r="A24" s="2" t="s">
        <v>22</v>
      </c>
      <c r="B24" s="2" t="s">
        <v>73</v>
      </c>
      <c r="C24" s="4">
        <v>1.4631700000000001</v>
      </c>
      <c r="D24" s="4">
        <v>1.90594</v>
      </c>
      <c r="E24" s="4">
        <v>1.7332399999999999</v>
      </c>
      <c r="F24" s="4">
        <v>1.61578</v>
      </c>
      <c r="G24" s="1" t="str">
        <f>_xll.MSDP(A24,"Exchange_Country")</f>
        <v>South Africa</v>
      </c>
    </row>
    <row r="25" spans="1:7" x14ac:dyDescent="0.25">
      <c r="A25" s="2" t="s">
        <v>23</v>
      </c>
      <c r="B25" s="2" t="s">
        <v>74</v>
      </c>
      <c r="C25" s="4">
        <v>1.87856</v>
      </c>
      <c r="D25" s="4">
        <v>1.93685</v>
      </c>
      <c r="E25" s="4">
        <v>1.33022</v>
      </c>
      <c r="F25" s="4">
        <v>1.6113599999999999</v>
      </c>
      <c r="G25" s="1" t="str">
        <f>_xll.MSDP(A25,"Exchange_Country")</f>
        <v>Nigeria</v>
      </c>
    </row>
    <row r="26" spans="1:7" x14ac:dyDescent="0.25">
      <c r="A26" s="2" t="s">
        <v>24</v>
      </c>
      <c r="B26" s="2" t="s">
        <v>75</v>
      </c>
      <c r="C26" s="4">
        <v>2.6120800000000002</v>
      </c>
      <c r="D26" s="4">
        <v>1.9081300000000001</v>
      </c>
      <c r="E26" s="4">
        <v>1.3412900000000001</v>
      </c>
      <c r="F26" s="4">
        <v>1.47366</v>
      </c>
      <c r="G26" s="1" t="str">
        <f>_xll.MSDP(A26,"Exchange_Country")</f>
        <v>Nigeria</v>
      </c>
    </row>
    <row r="27" spans="1:7" x14ac:dyDescent="0.25">
      <c r="A27" s="2" t="s">
        <v>25</v>
      </c>
      <c r="B27" s="2" t="s">
        <v>76</v>
      </c>
      <c r="C27" s="4">
        <v>0.57250999999999996</v>
      </c>
      <c r="D27" s="4">
        <v>1.3211599999999999</v>
      </c>
      <c r="E27" s="4">
        <v>1.54478</v>
      </c>
      <c r="F27" s="4">
        <v>1.3806400000000001</v>
      </c>
      <c r="G27" s="1" t="str">
        <f>_xll.MSDP(A27,"Exchange_Country")</f>
        <v>Canada</v>
      </c>
    </row>
    <row r="28" spans="1:7" x14ac:dyDescent="0.25">
      <c r="A28" s="2" t="s">
        <v>26</v>
      </c>
      <c r="B28" s="2" t="s">
        <v>77</v>
      </c>
      <c r="C28" s="1"/>
      <c r="D28" s="4">
        <v>1.3956200000000001</v>
      </c>
      <c r="E28" s="4">
        <v>1.43902</v>
      </c>
      <c r="F28" s="4">
        <v>1.32108</v>
      </c>
      <c r="G28" s="1" t="str">
        <f>_xll.MSDP(A28,"Exchange_Country")</f>
        <v>South Africa</v>
      </c>
    </row>
    <row r="29" spans="1:7" x14ac:dyDescent="0.25">
      <c r="A29" s="2" t="s">
        <v>27</v>
      </c>
      <c r="B29" s="2" t="s">
        <v>78</v>
      </c>
      <c r="C29" s="4">
        <v>1.0616000000000001</v>
      </c>
      <c r="D29" s="4">
        <v>0.86858999999999997</v>
      </c>
      <c r="E29" s="4">
        <v>1.1421600000000001</v>
      </c>
      <c r="F29" s="4">
        <v>1.29216</v>
      </c>
      <c r="G29" s="1" t="str">
        <f>_xll.MSDP(A29,"Exchange_Country")</f>
        <v>-N/A</v>
      </c>
    </row>
    <row r="30" spans="1:7" x14ac:dyDescent="0.25">
      <c r="A30" s="2" t="s">
        <v>28</v>
      </c>
      <c r="B30" s="2" t="s">
        <v>79</v>
      </c>
      <c r="C30" s="4">
        <v>2.7957999999999998</v>
      </c>
      <c r="D30" s="4">
        <v>1.91658</v>
      </c>
      <c r="E30" s="4">
        <v>1.0649</v>
      </c>
      <c r="F30" s="4">
        <v>1.2859</v>
      </c>
      <c r="G30" s="1" t="str">
        <f>_xll.MSDP(A30,"Exchange_Country")</f>
        <v>-N/A</v>
      </c>
    </row>
    <row r="31" spans="1:7" x14ac:dyDescent="0.25">
      <c r="A31" s="2" t="s">
        <v>29</v>
      </c>
      <c r="B31" s="2" t="s">
        <v>80</v>
      </c>
      <c r="C31" s="4">
        <v>1.8288500000000001</v>
      </c>
      <c r="D31" s="4">
        <v>1.2626500000000001</v>
      </c>
      <c r="E31" s="4">
        <v>1.4734100000000001</v>
      </c>
      <c r="F31" s="4">
        <v>1.1762300000000001</v>
      </c>
      <c r="G31" s="1" t="str">
        <f>_xll.MSDP(A31,"Exchange_Country")</f>
        <v>Norway</v>
      </c>
    </row>
    <row r="32" spans="1:7" x14ac:dyDescent="0.25">
      <c r="A32" s="2" t="s">
        <v>30</v>
      </c>
      <c r="B32" s="2" t="s">
        <v>81</v>
      </c>
      <c r="C32" s="4">
        <v>0.91810000000000003</v>
      </c>
      <c r="D32" s="4">
        <v>0.70716000000000001</v>
      </c>
      <c r="E32" s="4">
        <v>1.06962</v>
      </c>
      <c r="F32" s="4">
        <v>1.04939</v>
      </c>
      <c r="G32" s="1" t="str">
        <f>_xll.MSDP(A32,"Exchange_Country")</f>
        <v>-N/A</v>
      </c>
    </row>
    <row r="33" spans="1:7" x14ac:dyDescent="0.25">
      <c r="A33" s="2" t="s">
        <v>31</v>
      </c>
      <c r="B33" s="2" t="s">
        <v>82</v>
      </c>
      <c r="C33" s="4">
        <v>1.57283</v>
      </c>
      <c r="D33" s="4">
        <v>0.93425999999999998</v>
      </c>
      <c r="E33" s="4">
        <v>0.96825000000000006</v>
      </c>
      <c r="F33" s="4">
        <v>1.04118</v>
      </c>
      <c r="G33" s="1" t="str">
        <f>_xll.MSDP(A33,"Exchange_Country")</f>
        <v>Egypt</v>
      </c>
    </row>
    <row r="34" spans="1:7" x14ac:dyDescent="0.25">
      <c r="A34" s="2" t="s">
        <v>32</v>
      </c>
      <c r="B34" s="2" t="s">
        <v>83</v>
      </c>
      <c r="C34" s="4">
        <v>0.54159000000000002</v>
      </c>
      <c r="D34" s="4">
        <v>0.95975999999999995</v>
      </c>
      <c r="E34" s="4">
        <v>1.37201</v>
      </c>
      <c r="F34" s="4">
        <v>1.0403899999999999</v>
      </c>
      <c r="G34" s="1" t="str">
        <f>_xll.MSDP(A34,"Exchange_Country")</f>
        <v>South Africa</v>
      </c>
    </row>
    <row r="35" spans="1:7" x14ac:dyDescent="0.25">
      <c r="A35" s="2" t="s">
        <v>33</v>
      </c>
      <c r="B35" s="2" t="s">
        <v>84</v>
      </c>
      <c r="C35" s="4">
        <v>0.77637</v>
      </c>
      <c r="D35" s="4">
        <v>0.64863000000000004</v>
      </c>
      <c r="E35" s="4">
        <v>0.70686000000000004</v>
      </c>
      <c r="F35" s="4">
        <v>0.92549000000000003</v>
      </c>
      <c r="G35" s="1" t="str">
        <f>_xll.MSDP(A35,"Exchange_Country")</f>
        <v>Egypt</v>
      </c>
    </row>
    <row r="36" spans="1:7" x14ac:dyDescent="0.25">
      <c r="A36" s="2" t="s">
        <v>34</v>
      </c>
      <c r="B36" s="2" t="s">
        <v>85</v>
      </c>
      <c r="C36" s="4">
        <v>0.77209000000000005</v>
      </c>
      <c r="D36" s="4">
        <v>0.98204000000000002</v>
      </c>
      <c r="E36" s="4">
        <v>0.95655000000000001</v>
      </c>
      <c r="F36" s="4">
        <v>0.89371</v>
      </c>
      <c r="G36" s="1" t="str">
        <f>_xll.MSDP(A36,"Exchange_Country")</f>
        <v>South Africa</v>
      </c>
    </row>
    <row r="37" spans="1:7" x14ac:dyDescent="0.25">
      <c r="A37" s="2" t="s">
        <v>35</v>
      </c>
      <c r="B37" s="2" t="s">
        <v>86</v>
      </c>
      <c r="C37" s="4">
        <v>1.43794</v>
      </c>
      <c r="D37" s="4">
        <v>0.94618000000000002</v>
      </c>
      <c r="E37" s="4">
        <v>0.87695000000000001</v>
      </c>
      <c r="F37" s="4">
        <v>0.89000999999999997</v>
      </c>
      <c r="G37" s="1" t="str">
        <f>_xll.MSDP(A37,"Exchange_Country")</f>
        <v>South Africa</v>
      </c>
    </row>
    <row r="38" spans="1:7" x14ac:dyDescent="0.25">
      <c r="A38" s="2" t="s">
        <v>36</v>
      </c>
      <c r="B38" s="2" t="s">
        <v>87</v>
      </c>
      <c r="C38" s="4">
        <v>0.71799000000000002</v>
      </c>
      <c r="D38" s="4">
        <v>1.20811</v>
      </c>
      <c r="E38" s="4">
        <v>0.98487999999999998</v>
      </c>
      <c r="F38" s="4">
        <v>0.88934000000000002</v>
      </c>
      <c r="G38" s="1" t="str">
        <f>_xll.MSDP(A38,"Exchange_Country")</f>
        <v>Nigeria</v>
      </c>
    </row>
    <row r="39" spans="1:7" x14ac:dyDescent="0.25">
      <c r="A39" s="2" t="s">
        <v>37</v>
      </c>
      <c r="B39" s="2" t="s">
        <v>88</v>
      </c>
      <c r="C39" s="4">
        <v>0.90227000000000002</v>
      </c>
      <c r="D39" s="4">
        <v>0.94438999999999995</v>
      </c>
      <c r="E39" s="4">
        <v>0.89878999999999998</v>
      </c>
      <c r="F39" s="4">
        <v>0.87614000000000003</v>
      </c>
      <c r="G39" s="1" t="str">
        <f>_xll.MSDP(A39,"Exchange_Country")</f>
        <v>Egypt</v>
      </c>
    </row>
    <row r="40" spans="1:7" x14ac:dyDescent="0.25">
      <c r="A40" s="2" t="s">
        <v>38</v>
      </c>
      <c r="B40" s="2" t="s">
        <v>89</v>
      </c>
      <c r="C40" s="4">
        <v>0.94825000000000004</v>
      </c>
      <c r="D40" s="4">
        <v>1.30399</v>
      </c>
      <c r="E40" s="4">
        <v>1.19272</v>
      </c>
      <c r="F40" s="4">
        <v>0.87148000000000003</v>
      </c>
      <c r="G40" s="1" t="str">
        <f>_xll.MSDP(A40,"Exchange_Country")</f>
        <v>South Africa</v>
      </c>
    </row>
    <row r="41" spans="1:7" x14ac:dyDescent="0.25">
      <c r="A41" s="2" t="s">
        <v>39</v>
      </c>
      <c r="B41" s="2" t="s">
        <v>90</v>
      </c>
      <c r="C41" s="4">
        <v>1.90208</v>
      </c>
      <c r="D41" s="4">
        <v>1.0265200000000001</v>
      </c>
      <c r="E41" s="4">
        <v>1.0048900000000001</v>
      </c>
      <c r="F41" s="4">
        <v>0.85777000000000003</v>
      </c>
      <c r="G41" s="1" t="str">
        <f>_xll.MSDP(A41,"Exchange_Country")</f>
        <v>South Africa</v>
      </c>
    </row>
    <row r="42" spans="1:7" x14ac:dyDescent="0.25">
      <c r="A42" s="2" t="s">
        <v>40</v>
      </c>
      <c r="B42" s="2" t="s">
        <v>91</v>
      </c>
      <c r="C42" s="4">
        <v>1.0464100000000001</v>
      </c>
      <c r="D42" s="4">
        <v>0.65888000000000002</v>
      </c>
      <c r="E42" s="4">
        <v>0.90198</v>
      </c>
      <c r="F42" s="4">
        <v>0.85729</v>
      </c>
      <c r="G42" s="1" t="str">
        <f>_xll.MSDP(A42,"Exchange_Country")</f>
        <v>United Kingdom</v>
      </c>
    </row>
    <row r="43" spans="1:7" x14ac:dyDescent="0.25">
      <c r="A43" s="1"/>
      <c r="B43" s="2" t="s">
        <v>92</v>
      </c>
      <c r="C43" s="4">
        <v>0.84325000000000006</v>
      </c>
      <c r="D43" s="4">
        <v>0.96335000000000004</v>
      </c>
      <c r="E43" s="4">
        <v>1.0295700000000001</v>
      </c>
      <c r="F43" s="4">
        <v>0.82177</v>
      </c>
      <c r="G43" s="1" t="s">
        <v>105</v>
      </c>
    </row>
    <row r="44" spans="1:7" x14ac:dyDescent="0.25">
      <c r="A44" s="2" t="s">
        <v>41</v>
      </c>
      <c r="B44" s="2" t="s">
        <v>93</v>
      </c>
      <c r="C44" s="4">
        <v>0.84613000000000005</v>
      </c>
      <c r="D44" s="4">
        <v>0.74329999999999996</v>
      </c>
      <c r="E44" s="4">
        <v>0.86482999999999999</v>
      </c>
      <c r="F44" s="4">
        <v>0.81982999999999995</v>
      </c>
      <c r="G44" s="1" t="str">
        <f>_xll.MSDP(A44,"Exchange_Country")</f>
        <v>-N/A</v>
      </c>
    </row>
    <row r="45" spans="1:7" x14ac:dyDescent="0.25">
      <c r="A45" s="1"/>
      <c r="B45" s="2" t="s">
        <v>94</v>
      </c>
      <c r="C45" s="4">
        <v>1.37717</v>
      </c>
      <c r="D45" s="4">
        <v>3.1789000000000001</v>
      </c>
      <c r="E45" s="4">
        <v>1.04853</v>
      </c>
      <c r="F45" s="4">
        <v>0.77312000000000003</v>
      </c>
      <c r="G45" s="1" t="s">
        <v>106</v>
      </c>
    </row>
    <row r="46" spans="1:7" x14ac:dyDescent="0.25">
      <c r="A46" s="2" t="s">
        <v>42</v>
      </c>
      <c r="B46" s="2" t="s">
        <v>95</v>
      </c>
      <c r="C46" s="4">
        <v>1.1343799999999999</v>
      </c>
      <c r="D46" s="4">
        <v>0.74912999999999996</v>
      </c>
      <c r="E46" s="4">
        <v>0.83918000000000004</v>
      </c>
      <c r="F46" s="4">
        <v>0.77007999999999999</v>
      </c>
      <c r="G46" s="1" t="str">
        <f>_xll.MSDP(A46,"Exchange_Country")</f>
        <v>Canada</v>
      </c>
    </row>
    <row r="47" spans="1:7" x14ac:dyDescent="0.25">
      <c r="A47" s="2" t="s">
        <v>43</v>
      </c>
      <c r="B47" s="2" t="s">
        <v>96</v>
      </c>
      <c r="C47" s="4">
        <v>0.55693000000000004</v>
      </c>
      <c r="D47" s="4">
        <v>0.48605999999999999</v>
      </c>
      <c r="E47" s="4">
        <v>0.41170000000000001</v>
      </c>
      <c r="F47" s="4">
        <v>0.51543000000000005</v>
      </c>
      <c r="G47" s="1" t="str">
        <f>_xll.MSDP(A47,"Exchange_Country")</f>
        <v>-N/A</v>
      </c>
    </row>
    <row r="48" spans="1:7" x14ac:dyDescent="0.25">
      <c r="A48" s="2" t="s">
        <v>44</v>
      </c>
      <c r="B48" s="2" t="s">
        <v>97</v>
      </c>
      <c r="C48" s="4">
        <v>1.1552899999999999</v>
      </c>
      <c r="D48" s="4">
        <v>1.1289100000000001</v>
      </c>
      <c r="E48" s="4">
        <v>0.40094000000000002</v>
      </c>
      <c r="F48" s="4">
        <v>0.45711000000000002</v>
      </c>
      <c r="G48" s="1" t="str">
        <f>_xll.MSDP(A48,"Exchange_Country")</f>
        <v>-N/A</v>
      </c>
    </row>
    <row r="49" spans="1:7" x14ac:dyDescent="0.25">
      <c r="A49" s="2" t="s">
        <v>45</v>
      </c>
      <c r="B49" s="2" t="s">
        <v>98</v>
      </c>
      <c r="C49" s="4">
        <v>0.85924</v>
      </c>
      <c r="D49" s="4">
        <v>0.56191999999999998</v>
      </c>
      <c r="E49" s="4">
        <v>0.52739999999999998</v>
      </c>
      <c r="F49" s="4">
        <v>0.43208000000000002</v>
      </c>
      <c r="G49" s="1" t="str">
        <f>_xll.MSDP(A49,"Exchange_Country")</f>
        <v>South Africa</v>
      </c>
    </row>
    <row r="50" spans="1:7" x14ac:dyDescent="0.25">
      <c r="A50" s="2" t="s">
        <v>46</v>
      </c>
      <c r="B50" s="2" t="s">
        <v>99</v>
      </c>
      <c r="C50" s="4">
        <v>0.39018999999999998</v>
      </c>
      <c r="D50" s="4">
        <v>0.24282000000000001</v>
      </c>
      <c r="E50" s="4">
        <v>0.14265</v>
      </c>
      <c r="F50" s="4">
        <v>0.20313000000000001</v>
      </c>
      <c r="G50" s="1" t="str">
        <f>_xll.MSDP(A50,"Exchange_Country")</f>
        <v>United Kingdom</v>
      </c>
    </row>
    <row r="51" spans="1:7" x14ac:dyDescent="0.25">
      <c r="A51" s="2" t="s">
        <v>47</v>
      </c>
      <c r="B51" s="2" t="s">
        <v>100</v>
      </c>
      <c r="C51" s="4">
        <v>0.96977000000000002</v>
      </c>
      <c r="D51" s="4">
        <v>0.16047</v>
      </c>
      <c r="E51" s="4">
        <v>7.7149999999999996E-2</v>
      </c>
      <c r="F51" s="4">
        <v>5.3370000000000001E-2</v>
      </c>
      <c r="G51" s="1" t="str">
        <f>_xll.MSDP(A51,"Exchange_Country")</f>
        <v>Canada</v>
      </c>
    </row>
    <row r="52" spans="1:7" x14ac:dyDescent="0.25">
      <c r="A52" s="2" t="s">
        <v>48</v>
      </c>
      <c r="B52" s="2" t="s">
        <v>101</v>
      </c>
      <c r="C52" s="4">
        <v>2.4245100000000002</v>
      </c>
      <c r="D52" s="4">
        <v>3.2007099999999999</v>
      </c>
      <c r="E52" s="4">
        <v>2.6515300000000002</v>
      </c>
      <c r="F52" s="1"/>
      <c r="G52" s="1" t="str">
        <f>_xll.MSDP(A52,"Exchange_Country")</f>
        <v>South Africa</v>
      </c>
    </row>
    <row r="53" spans="1:7" x14ac:dyDescent="0.25">
      <c r="A53" s="2" t="s">
        <v>49</v>
      </c>
      <c r="B53" s="2" t="s">
        <v>102</v>
      </c>
      <c r="C53" s="1"/>
      <c r="D53" s="4">
        <v>1.584E-2</v>
      </c>
      <c r="E53" s="1"/>
      <c r="F53" s="1"/>
      <c r="G53" s="1" t="str">
        <f>_xll.MSDP(A53,"Exchange_Country")</f>
        <v>United Kingdom</v>
      </c>
    </row>
    <row r="54" spans="1:7" x14ac:dyDescent="0.25">
      <c r="A54" s="2" t="s">
        <v>50</v>
      </c>
      <c r="B54" s="2" t="s">
        <v>103</v>
      </c>
      <c r="C54" s="1"/>
      <c r="D54" s="4">
        <v>1.2E-4</v>
      </c>
      <c r="E54" s="1"/>
      <c r="F54" s="1"/>
      <c r="G54" s="1" t="str">
        <f>_xll.MSDP(A54,"Exchange_Country")</f>
        <v>South Africa</v>
      </c>
    </row>
    <row r="55" spans="1:7" x14ac:dyDescent="0.25">
      <c r="A55" s="1"/>
      <c r="B55" s="2" t="s">
        <v>104</v>
      </c>
      <c r="C55" s="4">
        <v>1.2774099999999999</v>
      </c>
      <c r="D55" s="1"/>
      <c r="E55" s="1"/>
      <c r="F55" s="1"/>
      <c r="G55" s="1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opLeftCell="A19" workbookViewId="0">
      <selection activeCell="H55" sqref="H55"/>
    </sheetView>
  </sheetViews>
  <sheetFormatPr defaultRowHeight="15" x14ac:dyDescent="0.25"/>
  <cols>
    <col min="2" max="2" width="46.7109375" bestFit="1" customWidth="1"/>
    <col min="3" max="3" width="9.7109375" bestFit="1" customWidth="1"/>
    <col min="4" max="4" width="10.7109375" bestFit="1" customWidth="1"/>
    <col min="5" max="6" width="9.7109375" bestFit="1" customWidth="1"/>
    <col min="7" max="7" width="15.42578125" bestFit="1" customWidth="1"/>
  </cols>
  <sheetData>
    <row r="1" spans="1:7" x14ac:dyDescent="0.25">
      <c r="A1" s="1" t="str">
        <f>_xll.MSHOLDING("ARCX:AFK","SECID","7/10/2008","3/31/2009","Freq=M,HT=stocks,shares=true,name=true")</f>
        <v>SecID</v>
      </c>
      <c r="B1" s="2" t="s">
        <v>0</v>
      </c>
      <c r="C1" s="3">
        <v>39691</v>
      </c>
      <c r="D1" s="3">
        <v>39782</v>
      </c>
      <c r="E1" s="3">
        <v>39844</v>
      </c>
      <c r="F1" s="3">
        <v>39903</v>
      </c>
    </row>
    <row r="2" spans="1:7" x14ac:dyDescent="0.25">
      <c r="A2" s="2" t="s">
        <v>1</v>
      </c>
      <c r="B2" s="2" t="s">
        <v>51</v>
      </c>
      <c r="C2" s="5">
        <v>21641</v>
      </c>
      <c r="D2" s="5">
        <v>33339</v>
      </c>
      <c r="E2" s="5">
        <v>37117</v>
      </c>
      <c r="F2" s="5">
        <v>49590</v>
      </c>
      <c r="G2" s="1" t="str">
        <f>_xll.MSDP(A2,"Exchange_Country")</f>
        <v>United Kingdom</v>
      </c>
    </row>
    <row r="3" spans="1:7" x14ac:dyDescent="0.25">
      <c r="A3" s="2" t="s">
        <v>2</v>
      </c>
      <c r="B3" s="2" t="s">
        <v>52</v>
      </c>
      <c r="C3" s="5">
        <v>7047</v>
      </c>
      <c r="D3" s="5">
        <v>9224</v>
      </c>
      <c r="E3" s="5">
        <v>9241</v>
      </c>
      <c r="F3" s="5">
        <v>17902</v>
      </c>
      <c r="G3" s="1" t="str">
        <f>_xll.MSDP(A3,"Exchange_Country")</f>
        <v>-N/A</v>
      </c>
    </row>
    <row r="4" spans="1:7" x14ac:dyDescent="0.25">
      <c r="A4" s="2" t="s">
        <v>3</v>
      </c>
      <c r="B4" s="2" t="s">
        <v>53</v>
      </c>
      <c r="C4" s="5">
        <v>2292</v>
      </c>
      <c r="D4" s="5">
        <v>3909</v>
      </c>
      <c r="E4" s="5">
        <v>3904</v>
      </c>
      <c r="F4" s="5">
        <v>5371</v>
      </c>
      <c r="G4" s="1" t="str">
        <f>_xll.MSDP(A4,"Exchange_Country")</f>
        <v>United States</v>
      </c>
    </row>
    <row r="5" spans="1:7" x14ac:dyDescent="0.25">
      <c r="A5" s="2" t="s">
        <v>4</v>
      </c>
      <c r="B5" s="2" t="s">
        <v>54</v>
      </c>
      <c r="C5" s="5">
        <v>888885</v>
      </c>
      <c r="D5" s="5">
        <v>1050430</v>
      </c>
      <c r="E5" s="5">
        <v>1320335</v>
      </c>
      <c r="F5" s="5">
        <v>2664870</v>
      </c>
      <c r="G5" s="1" t="str">
        <f>_xll.MSDP(A5,"Exchange_Country")</f>
        <v>Nigeria</v>
      </c>
    </row>
    <row r="6" spans="1:7" x14ac:dyDescent="0.25">
      <c r="A6" s="2" t="s">
        <v>5</v>
      </c>
      <c r="B6" s="2" t="s">
        <v>55</v>
      </c>
      <c r="C6" s="5">
        <v>360</v>
      </c>
      <c r="D6" s="5">
        <v>4729</v>
      </c>
      <c r="E6" s="5">
        <v>4738</v>
      </c>
      <c r="F6" s="5">
        <v>8113</v>
      </c>
      <c r="G6" s="1" t="str">
        <f>_xll.MSDP(A6,"Exchange_Country")</f>
        <v>-N/A</v>
      </c>
    </row>
    <row r="7" spans="1:7" x14ac:dyDescent="0.25">
      <c r="A7" s="2" t="s">
        <v>6</v>
      </c>
      <c r="B7" s="2" t="s">
        <v>56</v>
      </c>
      <c r="C7" s="5">
        <v>4904</v>
      </c>
      <c r="D7" s="5">
        <v>6611</v>
      </c>
      <c r="E7" s="5">
        <v>5238</v>
      </c>
      <c r="F7" s="5">
        <v>8308</v>
      </c>
      <c r="G7" s="1" t="str">
        <f>_xll.MSDP(A7,"Exchange_Country")</f>
        <v>South Africa</v>
      </c>
    </row>
    <row r="8" spans="1:7" x14ac:dyDescent="0.25">
      <c r="A8" s="2" t="s">
        <v>7</v>
      </c>
      <c r="B8" s="2" t="s">
        <v>57</v>
      </c>
      <c r="C8" s="5">
        <v>11145</v>
      </c>
      <c r="D8" s="5">
        <v>15025</v>
      </c>
      <c r="E8" s="5">
        <v>12858</v>
      </c>
      <c r="F8" s="5">
        <v>20393</v>
      </c>
      <c r="G8" s="1" t="str">
        <f>_xll.MSDP(A8,"Exchange_Country")</f>
        <v>South Africa</v>
      </c>
    </row>
    <row r="9" spans="1:7" x14ac:dyDescent="0.25">
      <c r="A9" s="2" t="s">
        <v>8</v>
      </c>
      <c r="B9" s="2" t="s">
        <v>58</v>
      </c>
      <c r="C9" s="1"/>
      <c r="D9" s="1"/>
      <c r="E9" s="1"/>
      <c r="F9" s="5">
        <v>92500</v>
      </c>
      <c r="G9" s="1" t="str">
        <f>_xll.MSDP(A9,"Exchange_Country")</f>
        <v>Kuwait</v>
      </c>
    </row>
    <row r="10" spans="1:7" x14ac:dyDescent="0.25">
      <c r="A10" s="2" t="s">
        <v>9</v>
      </c>
      <c r="B10" s="2" t="s">
        <v>59</v>
      </c>
      <c r="C10" s="5">
        <v>3408</v>
      </c>
      <c r="D10" s="5">
        <v>4744</v>
      </c>
      <c r="E10" s="5">
        <v>4753</v>
      </c>
      <c r="F10" s="5">
        <v>9204</v>
      </c>
      <c r="G10" s="1" t="str">
        <f>_xll.MSDP(A10,"Exchange_Country")</f>
        <v>Egypt</v>
      </c>
    </row>
    <row r="11" spans="1:7" x14ac:dyDescent="0.25">
      <c r="A11" s="2" t="s">
        <v>10</v>
      </c>
      <c r="B11" s="2" t="s">
        <v>60</v>
      </c>
      <c r="C11" s="5">
        <v>21470</v>
      </c>
      <c r="D11" s="5">
        <v>28105</v>
      </c>
      <c r="E11" s="5">
        <v>28155</v>
      </c>
      <c r="F11" s="5">
        <v>47696</v>
      </c>
      <c r="G11" s="1" t="str">
        <f>_xll.MSDP(A11,"Exchange_Country")</f>
        <v>Egypt</v>
      </c>
    </row>
    <row r="12" spans="1:7" x14ac:dyDescent="0.25">
      <c r="A12" s="2" t="s">
        <v>11</v>
      </c>
      <c r="B12" s="2" t="s">
        <v>61</v>
      </c>
      <c r="C12" s="5">
        <v>3015</v>
      </c>
      <c r="D12" s="5">
        <v>4065</v>
      </c>
      <c r="E12" s="5">
        <v>3479</v>
      </c>
      <c r="F12" s="5">
        <v>5517</v>
      </c>
      <c r="G12" s="1" t="str">
        <f>_xll.MSDP(A12,"Exchange_Country")</f>
        <v>South Africa</v>
      </c>
    </row>
    <row r="13" spans="1:7" x14ac:dyDescent="0.25">
      <c r="A13" s="2" t="s">
        <v>12</v>
      </c>
      <c r="B13" s="2" t="s">
        <v>62</v>
      </c>
      <c r="C13" s="5">
        <v>270377</v>
      </c>
      <c r="D13" s="5">
        <v>319515</v>
      </c>
      <c r="E13" s="5">
        <v>401613</v>
      </c>
      <c r="F13" s="5">
        <v>810589</v>
      </c>
      <c r="G13" s="1" t="str">
        <f>_xll.MSDP(A13,"Exchange_Country")</f>
        <v>Nigeria</v>
      </c>
    </row>
    <row r="14" spans="1:7" x14ac:dyDescent="0.25">
      <c r="A14" s="2" t="s">
        <v>13</v>
      </c>
      <c r="B14" s="2" t="s">
        <v>63</v>
      </c>
      <c r="C14" s="5">
        <v>6201</v>
      </c>
      <c r="D14" s="5">
        <v>8359</v>
      </c>
      <c r="E14" s="5">
        <v>7153</v>
      </c>
      <c r="F14" s="5">
        <v>11346</v>
      </c>
      <c r="G14" s="1" t="str">
        <f>_xll.MSDP(A14,"Exchange_Country")</f>
        <v>South Africa</v>
      </c>
    </row>
    <row r="15" spans="1:7" x14ac:dyDescent="0.25">
      <c r="A15" s="2" t="s">
        <v>14</v>
      </c>
      <c r="B15" s="2" t="s">
        <v>64</v>
      </c>
      <c r="C15" s="5">
        <v>270</v>
      </c>
      <c r="D15" s="5">
        <v>3530</v>
      </c>
      <c r="E15" s="5">
        <v>3541</v>
      </c>
      <c r="F15" s="5">
        <v>6861</v>
      </c>
      <c r="G15" s="1" t="str">
        <f>_xll.MSDP(A15,"Exchange_Country")</f>
        <v>-N/A</v>
      </c>
    </row>
    <row r="16" spans="1:7" x14ac:dyDescent="0.25">
      <c r="A16" s="1"/>
      <c r="B16" s="2" t="s">
        <v>65</v>
      </c>
      <c r="C16" s="1"/>
      <c r="D16" s="1"/>
      <c r="E16" s="1"/>
      <c r="F16" s="5">
        <v>21486</v>
      </c>
      <c r="G16" s="1" t="s">
        <v>105</v>
      </c>
    </row>
    <row r="17" spans="1:7" x14ac:dyDescent="0.25">
      <c r="A17" s="2" t="s">
        <v>15</v>
      </c>
      <c r="B17" s="2" t="s">
        <v>66</v>
      </c>
      <c r="C17" s="5">
        <v>458</v>
      </c>
      <c r="D17" s="5">
        <v>5989</v>
      </c>
      <c r="E17" s="5">
        <v>5999</v>
      </c>
      <c r="F17" s="5">
        <v>11623</v>
      </c>
      <c r="G17" s="1" t="str">
        <f>_xll.MSDP(A17,"Exchange_Country")</f>
        <v>-N/A</v>
      </c>
    </row>
    <row r="18" spans="1:7" x14ac:dyDescent="0.25">
      <c r="A18" s="2" t="s">
        <v>16</v>
      </c>
      <c r="B18" s="2" t="s">
        <v>67</v>
      </c>
      <c r="C18" s="5">
        <v>8919</v>
      </c>
      <c r="D18" s="5">
        <v>13133</v>
      </c>
      <c r="E18" s="5">
        <v>13156</v>
      </c>
      <c r="F18" s="5">
        <v>25477</v>
      </c>
      <c r="G18" s="1" t="str">
        <f>_xll.MSDP(A18,"Exchange_Country")</f>
        <v>Egypt</v>
      </c>
    </row>
    <row r="19" spans="1:7" x14ac:dyDescent="0.25">
      <c r="A19" s="2" t="s">
        <v>17</v>
      </c>
      <c r="B19" s="2" t="s">
        <v>68</v>
      </c>
      <c r="C19" s="5">
        <v>598660</v>
      </c>
      <c r="D19" s="5">
        <v>703454</v>
      </c>
      <c r="E19" s="5">
        <v>889240</v>
      </c>
      <c r="F19" s="5">
        <v>1794779</v>
      </c>
      <c r="G19" s="1" t="str">
        <f>_xll.MSDP(A19,"Exchange_Country")</f>
        <v>Nigeria</v>
      </c>
    </row>
    <row r="20" spans="1:7" x14ac:dyDescent="0.25">
      <c r="A20" s="2" t="s">
        <v>18</v>
      </c>
      <c r="B20" s="2" t="s">
        <v>69</v>
      </c>
      <c r="C20" s="5">
        <v>6489</v>
      </c>
      <c r="D20" s="5">
        <v>9211</v>
      </c>
      <c r="E20" s="5">
        <v>7882</v>
      </c>
      <c r="F20" s="5">
        <v>12502</v>
      </c>
      <c r="G20" s="1" t="str">
        <f>_xll.MSDP(A20,"Exchange_Country")</f>
        <v>South Africa</v>
      </c>
    </row>
    <row r="21" spans="1:7" x14ac:dyDescent="0.25">
      <c r="A21" s="2" t="s">
        <v>19</v>
      </c>
      <c r="B21" s="2" t="s">
        <v>70</v>
      </c>
      <c r="C21" s="5">
        <v>2048</v>
      </c>
      <c r="D21" s="5">
        <v>3402</v>
      </c>
      <c r="E21" s="5">
        <v>3488</v>
      </c>
      <c r="F21" s="5">
        <v>4799</v>
      </c>
      <c r="G21" s="1" t="str">
        <f>_xll.MSDP(A21,"Exchange_Country")</f>
        <v>Canada</v>
      </c>
    </row>
    <row r="22" spans="1:7" x14ac:dyDescent="0.25">
      <c r="A22" s="2" t="s">
        <v>20</v>
      </c>
      <c r="B22" s="2" t="s">
        <v>71</v>
      </c>
      <c r="C22" s="5">
        <v>556620</v>
      </c>
      <c r="D22" s="5">
        <v>657781</v>
      </c>
      <c r="E22" s="5">
        <v>1033494</v>
      </c>
      <c r="F22" s="5">
        <v>2085933</v>
      </c>
      <c r="G22" s="1" t="str">
        <f>_xll.MSDP(A22,"Exchange_Country")</f>
        <v>Nigeria</v>
      </c>
    </row>
    <row r="23" spans="1:7" x14ac:dyDescent="0.25">
      <c r="A23" s="2" t="s">
        <v>21</v>
      </c>
      <c r="B23" s="2" t="s">
        <v>72</v>
      </c>
      <c r="C23" s="5">
        <v>321</v>
      </c>
      <c r="D23" s="5">
        <v>421</v>
      </c>
      <c r="E23" s="5">
        <v>422</v>
      </c>
      <c r="F23" s="5">
        <v>816</v>
      </c>
      <c r="G23" s="1" t="str">
        <f>_xll.MSDP(A23,"Exchange_Country")</f>
        <v>-N/A</v>
      </c>
    </row>
    <row r="24" spans="1:7" x14ac:dyDescent="0.25">
      <c r="A24" s="2" t="s">
        <v>22</v>
      </c>
      <c r="B24" s="2" t="s">
        <v>73</v>
      </c>
      <c r="C24" s="5">
        <v>5856</v>
      </c>
      <c r="D24" s="5">
        <v>7894</v>
      </c>
      <c r="E24" s="5">
        <v>6755</v>
      </c>
      <c r="F24" s="5">
        <v>10713</v>
      </c>
      <c r="G24" s="1" t="str">
        <f>_xll.MSDP(A24,"Exchange_Country")</f>
        <v>South Africa</v>
      </c>
    </row>
    <row r="25" spans="1:7" x14ac:dyDescent="0.25">
      <c r="A25" s="2" t="s">
        <v>23</v>
      </c>
      <c r="B25" s="2" t="s">
        <v>74</v>
      </c>
      <c r="C25" s="5">
        <v>540175</v>
      </c>
      <c r="D25" s="5">
        <v>638347</v>
      </c>
      <c r="E25" s="5">
        <v>802369</v>
      </c>
      <c r="F25" s="5">
        <v>1619443</v>
      </c>
      <c r="G25" s="1" t="str">
        <f>_xll.MSDP(A25,"Exchange_Country")</f>
        <v>Nigeria</v>
      </c>
    </row>
    <row r="26" spans="1:7" x14ac:dyDescent="0.25">
      <c r="A26" s="2" t="s">
        <v>24</v>
      </c>
      <c r="B26" s="2" t="s">
        <v>75</v>
      </c>
      <c r="C26" s="5">
        <v>413999</v>
      </c>
      <c r="D26" s="5">
        <v>570780</v>
      </c>
      <c r="E26" s="5">
        <v>717440</v>
      </c>
      <c r="F26" s="5">
        <v>1448031</v>
      </c>
      <c r="G26" s="1" t="str">
        <f>_xll.MSDP(A26,"Exchange_Country")</f>
        <v>Nigeria</v>
      </c>
    </row>
    <row r="27" spans="1:7" x14ac:dyDescent="0.25">
      <c r="A27" s="2" t="s">
        <v>25</v>
      </c>
      <c r="B27" s="2" t="s">
        <v>76</v>
      </c>
      <c r="C27" s="5">
        <v>5013</v>
      </c>
      <c r="D27" s="5">
        <v>11265</v>
      </c>
      <c r="E27" s="5">
        <v>8538</v>
      </c>
      <c r="F27" s="5">
        <v>14297</v>
      </c>
      <c r="G27" s="1" t="str">
        <f>_xll.MSDP(A27,"Exchange_Country")</f>
        <v>Canada</v>
      </c>
    </row>
    <row r="28" spans="1:7" x14ac:dyDescent="0.25">
      <c r="A28" s="2" t="s">
        <v>26</v>
      </c>
      <c r="B28" s="2" t="s">
        <v>77</v>
      </c>
      <c r="C28" s="1"/>
      <c r="D28" s="5">
        <v>3874</v>
      </c>
      <c r="E28" s="5">
        <v>3315</v>
      </c>
      <c r="F28" s="5">
        <v>5258</v>
      </c>
      <c r="G28" s="1" t="str">
        <f>_xll.MSDP(A28,"Exchange_Country")</f>
        <v>South Africa</v>
      </c>
    </row>
    <row r="29" spans="1:7" x14ac:dyDescent="0.25">
      <c r="A29" s="2" t="s">
        <v>27</v>
      </c>
      <c r="B29" s="2" t="s">
        <v>78</v>
      </c>
      <c r="C29" s="5">
        <v>15185</v>
      </c>
      <c r="D29" s="5">
        <v>19985</v>
      </c>
      <c r="E29" s="5">
        <v>20485</v>
      </c>
      <c r="F29" s="5">
        <v>396850</v>
      </c>
      <c r="G29" s="1" t="str">
        <f>_xll.MSDP(A29,"Exchange_Country")</f>
        <v>-N/A</v>
      </c>
    </row>
    <row r="30" spans="1:7" x14ac:dyDescent="0.25">
      <c r="A30" s="2" t="s">
        <v>28</v>
      </c>
      <c r="B30" s="2" t="s">
        <v>79</v>
      </c>
      <c r="C30" s="5">
        <v>643083</v>
      </c>
      <c r="D30" s="5">
        <v>759957</v>
      </c>
      <c r="E30" s="5">
        <v>998591</v>
      </c>
      <c r="F30" s="5">
        <v>2015486</v>
      </c>
      <c r="G30" s="1" t="str">
        <f>_xll.MSDP(A30,"Exchange_Country")</f>
        <v>-N/A</v>
      </c>
    </row>
    <row r="31" spans="1:7" x14ac:dyDescent="0.25">
      <c r="A31" s="2" t="s">
        <v>29</v>
      </c>
      <c r="B31" s="2" t="s">
        <v>80</v>
      </c>
      <c r="C31" s="5">
        <v>6000</v>
      </c>
      <c r="D31" s="5">
        <v>9600</v>
      </c>
      <c r="E31" s="5">
        <v>9400</v>
      </c>
      <c r="F31" s="5">
        <v>12700</v>
      </c>
      <c r="G31" s="1" t="str">
        <f>_xll.MSDP(A31,"Exchange_Country")</f>
        <v>Norway</v>
      </c>
    </row>
    <row r="32" spans="1:7" x14ac:dyDescent="0.25">
      <c r="A32" s="2" t="s">
        <v>30</v>
      </c>
      <c r="B32" s="2" t="s">
        <v>81</v>
      </c>
      <c r="C32" s="5">
        <v>344312</v>
      </c>
      <c r="D32" s="5">
        <v>406888</v>
      </c>
      <c r="E32" s="5">
        <v>901441</v>
      </c>
      <c r="F32" s="5">
        <v>1819405</v>
      </c>
      <c r="G32" s="1" t="str">
        <f>_xll.MSDP(A32,"Exchange_Country")</f>
        <v>-N/A</v>
      </c>
    </row>
    <row r="33" spans="1:7" x14ac:dyDescent="0.25">
      <c r="A33" s="2" t="s">
        <v>31</v>
      </c>
      <c r="B33" s="2" t="s">
        <v>82</v>
      </c>
      <c r="C33" s="5">
        <v>10152</v>
      </c>
      <c r="D33" s="5">
        <v>13289</v>
      </c>
      <c r="E33" s="5">
        <v>13313</v>
      </c>
      <c r="F33" s="5">
        <v>25779</v>
      </c>
      <c r="G33" s="1" t="str">
        <f>_xll.MSDP(A33,"Exchange_Country")</f>
        <v>Egypt</v>
      </c>
    </row>
    <row r="34" spans="1:7" x14ac:dyDescent="0.25">
      <c r="A34" s="2" t="s">
        <v>32</v>
      </c>
      <c r="B34" s="2" t="s">
        <v>83</v>
      </c>
      <c r="C34" s="5">
        <v>3509</v>
      </c>
      <c r="D34" s="5">
        <v>4781</v>
      </c>
      <c r="E34" s="5">
        <v>4091</v>
      </c>
      <c r="F34" s="5">
        <v>6490</v>
      </c>
      <c r="G34" s="1" t="str">
        <f>_xll.MSDP(A34,"Exchange_Country")</f>
        <v>South Africa</v>
      </c>
    </row>
    <row r="35" spans="1:7" x14ac:dyDescent="0.25">
      <c r="A35" s="2" t="s">
        <v>33</v>
      </c>
      <c r="B35" s="2" t="s">
        <v>84</v>
      </c>
      <c r="C35" s="5">
        <v>36445</v>
      </c>
      <c r="D35" s="5">
        <v>47706</v>
      </c>
      <c r="E35" s="5">
        <v>47791</v>
      </c>
      <c r="F35" s="5">
        <v>92547</v>
      </c>
      <c r="G35" s="1" t="str">
        <f>_xll.MSDP(A35,"Exchange_Country")</f>
        <v>Egypt</v>
      </c>
    </row>
    <row r="36" spans="1:7" x14ac:dyDescent="0.25">
      <c r="A36" s="2" t="s">
        <v>34</v>
      </c>
      <c r="B36" s="2" t="s">
        <v>85</v>
      </c>
      <c r="C36" s="5">
        <v>18911</v>
      </c>
      <c r="D36" s="5">
        <v>25496</v>
      </c>
      <c r="E36" s="5">
        <v>21332</v>
      </c>
      <c r="F36" s="5">
        <v>33834</v>
      </c>
      <c r="G36" s="1" t="str">
        <f>_xll.MSDP(A36,"Exchange_Country")</f>
        <v>South Africa</v>
      </c>
    </row>
    <row r="37" spans="1:7" x14ac:dyDescent="0.25">
      <c r="A37" s="2" t="s">
        <v>35</v>
      </c>
      <c r="B37" s="2" t="s">
        <v>86</v>
      </c>
      <c r="C37" s="5">
        <v>645</v>
      </c>
      <c r="D37" s="5">
        <v>870</v>
      </c>
      <c r="E37" s="5">
        <v>752</v>
      </c>
      <c r="F37" s="5">
        <v>1192</v>
      </c>
      <c r="G37" s="1" t="str">
        <f>_xll.MSDP(A37,"Exchange_Country")</f>
        <v>South Africa</v>
      </c>
    </row>
    <row r="38" spans="1:7" x14ac:dyDescent="0.25">
      <c r="A38" s="2" t="s">
        <v>36</v>
      </c>
      <c r="B38" s="2" t="s">
        <v>87</v>
      </c>
      <c r="C38" s="5">
        <v>588610</v>
      </c>
      <c r="D38" s="5">
        <v>1223682</v>
      </c>
      <c r="E38" s="5">
        <v>1538103</v>
      </c>
      <c r="F38" s="5">
        <v>3104398</v>
      </c>
      <c r="G38" s="1" t="str">
        <f>_xll.MSDP(A38,"Exchange_Country")</f>
        <v>Nigeria</v>
      </c>
    </row>
    <row r="39" spans="1:7" x14ac:dyDescent="0.25">
      <c r="A39" s="2" t="s">
        <v>37</v>
      </c>
      <c r="B39" s="2" t="s">
        <v>88</v>
      </c>
      <c r="C39" s="5">
        <v>21152</v>
      </c>
      <c r="D39" s="5">
        <v>31695</v>
      </c>
      <c r="E39" s="5">
        <v>27737</v>
      </c>
      <c r="F39" s="5">
        <v>53714</v>
      </c>
      <c r="G39" s="1" t="str">
        <f>_xll.MSDP(A39,"Exchange_Country")</f>
        <v>Egypt</v>
      </c>
    </row>
    <row r="40" spans="1:7" x14ac:dyDescent="0.25">
      <c r="A40" s="2" t="s">
        <v>38</v>
      </c>
      <c r="B40" s="2" t="s">
        <v>89</v>
      </c>
      <c r="C40" s="5">
        <v>25160</v>
      </c>
      <c r="D40" s="5">
        <v>33920</v>
      </c>
      <c r="E40" s="5">
        <v>29027</v>
      </c>
      <c r="F40" s="5">
        <v>46038</v>
      </c>
      <c r="G40" s="1" t="str">
        <f>_xll.MSDP(A40,"Exchange_Country")</f>
        <v>South Africa</v>
      </c>
    </row>
    <row r="41" spans="1:7" x14ac:dyDescent="0.25">
      <c r="A41" s="2" t="s">
        <v>39</v>
      </c>
      <c r="B41" s="2" t="s">
        <v>90</v>
      </c>
      <c r="C41" s="5">
        <v>4431</v>
      </c>
      <c r="D41" s="5">
        <v>5975</v>
      </c>
      <c r="E41" s="5">
        <v>5113</v>
      </c>
      <c r="F41" s="5">
        <v>8109</v>
      </c>
      <c r="G41" s="1" t="str">
        <f>_xll.MSDP(A41,"Exchange_Country")</f>
        <v>South Africa</v>
      </c>
    </row>
    <row r="42" spans="1:7" x14ac:dyDescent="0.25">
      <c r="A42" s="2" t="s">
        <v>40</v>
      </c>
      <c r="B42" s="2" t="s">
        <v>91</v>
      </c>
      <c r="C42" s="5">
        <v>6627</v>
      </c>
      <c r="D42" s="5">
        <v>12403</v>
      </c>
      <c r="E42" s="5">
        <v>14245</v>
      </c>
      <c r="F42" s="5">
        <v>19599</v>
      </c>
      <c r="G42" s="1" t="str">
        <f>_xll.MSDP(A42,"Exchange_Country")</f>
        <v>United Kingdom</v>
      </c>
    </row>
    <row r="43" spans="1:7" x14ac:dyDescent="0.25">
      <c r="A43" s="1"/>
      <c r="B43" s="2" t="s">
        <v>92</v>
      </c>
      <c r="C43" s="5">
        <v>3225</v>
      </c>
      <c r="D43" s="5">
        <v>4349</v>
      </c>
      <c r="E43" s="5">
        <v>3722</v>
      </c>
      <c r="F43" s="5">
        <v>5962</v>
      </c>
      <c r="G43" s="1" t="s">
        <v>105</v>
      </c>
    </row>
    <row r="44" spans="1:7" x14ac:dyDescent="0.25">
      <c r="A44" s="2" t="s">
        <v>41</v>
      </c>
      <c r="B44" s="2" t="s">
        <v>93</v>
      </c>
      <c r="C44" s="5">
        <v>219163</v>
      </c>
      <c r="D44" s="5">
        <v>345325</v>
      </c>
      <c r="E44" s="5">
        <v>717286</v>
      </c>
      <c r="F44" s="5">
        <v>1447719</v>
      </c>
      <c r="G44" s="1" t="str">
        <f>_xll.MSDP(A44,"Exchange_Country")</f>
        <v>-N/A</v>
      </c>
    </row>
    <row r="45" spans="1:7" x14ac:dyDescent="0.25">
      <c r="A45" s="1"/>
      <c r="B45" s="2" t="s">
        <v>94</v>
      </c>
      <c r="C45" s="5">
        <v>225799</v>
      </c>
      <c r="D45" s="5">
        <v>400503</v>
      </c>
      <c r="E45" s="5">
        <v>335399</v>
      </c>
      <c r="F45" s="5">
        <v>676944</v>
      </c>
      <c r="G45" s="1" t="str">
        <f>_xll.MSDP(A45,"Exchange_Country")</f>
        <v>Null parameter</v>
      </c>
    </row>
    <row r="46" spans="1:7" x14ac:dyDescent="0.25">
      <c r="A46" s="2" t="s">
        <v>42</v>
      </c>
      <c r="B46" s="2" t="s">
        <v>95</v>
      </c>
      <c r="C46" s="5">
        <v>17010</v>
      </c>
      <c r="D46" s="5">
        <v>27680</v>
      </c>
      <c r="E46" s="5">
        <v>24204</v>
      </c>
      <c r="F46" s="5">
        <v>35131</v>
      </c>
      <c r="G46" s="1" t="str">
        <f>_xll.MSDP(A46,"Exchange_Country")</f>
        <v>Canada</v>
      </c>
    </row>
    <row r="47" spans="1:7" x14ac:dyDescent="0.25">
      <c r="A47" s="2" t="s">
        <v>43</v>
      </c>
      <c r="B47" s="2" t="s">
        <v>96</v>
      </c>
      <c r="C47" s="5">
        <v>29132</v>
      </c>
      <c r="D47" s="5">
        <v>31476</v>
      </c>
      <c r="E47" s="5">
        <v>39563</v>
      </c>
      <c r="F47" s="5">
        <v>79851</v>
      </c>
      <c r="G47" s="1" t="str">
        <f>_xll.MSDP(A47,"Exchange_Country")</f>
        <v>-N/A</v>
      </c>
    </row>
    <row r="48" spans="1:7" x14ac:dyDescent="0.25">
      <c r="A48" s="2" t="s">
        <v>44</v>
      </c>
      <c r="B48" s="2" t="s">
        <v>97</v>
      </c>
      <c r="C48" s="5">
        <v>375879</v>
      </c>
      <c r="D48" s="5">
        <v>444191</v>
      </c>
      <c r="E48" s="5">
        <v>346667</v>
      </c>
      <c r="F48" s="5">
        <v>699689</v>
      </c>
      <c r="G48" s="1" t="str">
        <f>_xll.MSDP(A48,"Exchange_Country")</f>
        <v>-N/A</v>
      </c>
    </row>
    <row r="49" spans="1:7" x14ac:dyDescent="0.25">
      <c r="A49" s="2" t="s">
        <v>45</v>
      </c>
      <c r="B49" s="2" t="s">
        <v>98</v>
      </c>
      <c r="C49" s="5">
        <v>2061</v>
      </c>
      <c r="D49" s="5">
        <v>2778</v>
      </c>
      <c r="E49" s="5">
        <v>2377</v>
      </c>
      <c r="F49" s="5">
        <v>3770</v>
      </c>
      <c r="G49" s="1" t="str">
        <f>_xll.MSDP(A49,"Exchange_Country")</f>
        <v>South Africa</v>
      </c>
    </row>
    <row r="50" spans="1:7" x14ac:dyDescent="0.25">
      <c r="A50" s="2" t="s">
        <v>46</v>
      </c>
      <c r="B50" s="2" t="s">
        <v>99</v>
      </c>
      <c r="C50" s="5">
        <v>36923</v>
      </c>
      <c r="D50" s="5">
        <v>212585</v>
      </c>
      <c r="E50" s="5">
        <v>143594</v>
      </c>
      <c r="F50" s="5">
        <v>197558</v>
      </c>
      <c r="G50" s="1" t="str">
        <f>_xll.MSDP(A50,"Exchange_Country")</f>
        <v>United Kingdom</v>
      </c>
    </row>
    <row r="51" spans="1:7" x14ac:dyDescent="0.25">
      <c r="A51" s="2" t="s">
        <v>47</v>
      </c>
      <c r="B51" s="2" t="s">
        <v>100</v>
      </c>
      <c r="C51" s="5">
        <v>5058</v>
      </c>
      <c r="D51" s="5">
        <v>9814</v>
      </c>
      <c r="E51" s="5">
        <v>8614</v>
      </c>
      <c r="F51" s="5">
        <v>11852</v>
      </c>
      <c r="G51" s="1" t="str">
        <f>_xll.MSDP(A51,"Exchange_Country")</f>
        <v>Canada</v>
      </c>
    </row>
    <row r="52" spans="1:7" x14ac:dyDescent="0.25">
      <c r="A52" s="2" t="s">
        <v>48</v>
      </c>
      <c r="B52" s="2" t="s">
        <v>101</v>
      </c>
      <c r="C52" s="5">
        <v>11742</v>
      </c>
      <c r="D52" s="5">
        <v>15830</v>
      </c>
      <c r="E52" s="5">
        <v>13546</v>
      </c>
      <c r="F52" s="1"/>
      <c r="G52" s="1" t="str">
        <f>_xll.MSDP(A52,"Exchange_Country")</f>
        <v>South Africa</v>
      </c>
    </row>
    <row r="53" spans="1:7" x14ac:dyDescent="0.25">
      <c r="A53" s="2" t="s">
        <v>49</v>
      </c>
      <c r="B53" s="2" t="s">
        <v>102</v>
      </c>
      <c r="C53" s="1"/>
      <c r="D53" s="5">
        <v>26</v>
      </c>
      <c r="E53" s="1"/>
      <c r="F53" s="1"/>
      <c r="G53" s="1" t="str">
        <f>_xll.MSDP(A53,"Exchange_Country")</f>
        <v>United Kingdom</v>
      </c>
    </row>
    <row r="54" spans="1:7" x14ac:dyDescent="0.25">
      <c r="A54" s="2" t="s">
        <v>50</v>
      </c>
      <c r="B54" s="2" t="s">
        <v>103</v>
      </c>
      <c r="C54" s="1"/>
      <c r="D54" s="5">
        <v>5</v>
      </c>
      <c r="E54" s="1"/>
      <c r="F54" s="1"/>
      <c r="G54" s="1" t="str">
        <f>_xll.MSDP(A54,"Exchange_Country")</f>
        <v>South Africa</v>
      </c>
    </row>
    <row r="55" spans="1:7" x14ac:dyDescent="0.25">
      <c r="A55" s="1"/>
      <c r="B55" s="2" t="s">
        <v>104</v>
      </c>
      <c r="C55" s="5">
        <v>2874</v>
      </c>
      <c r="D55" s="1"/>
      <c r="E55" s="1"/>
      <c r="F55" s="1"/>
      <c r="G55" s="1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workbookViewId="0">
      <selection activeCell="G43" sqref="G43"/>
    </sheetView>
  </sheetViews>
  <sheetFormatPr defaultRowHeight="15" x14ac:dyDescent="0.25"/>
  <cols>
    <col min="1" max="1" width="13.140625" bestFit="1" customWidth="1"/>
    <col min="2" max="2" width="41" customWidth="1"/>
    <col min="3" max="3" width="9.7109375" bestFit="1" customWidth="1"/>
    <col min="4" max="4" width="10.7109375" bestFit="1" customWidth="1"/>
    <col min="5" max="6" width="9.7109375" bestFit="1" customWidth="1"/>
    <col min="7" max="7" width="15.7109375" customWidth="1"/>
  </cols>
  <sheetData>
    <row r="1" spans="1:7" x14ac:dyDescent="0.25">
      <c r="A1" s="1" t="str">
        <f>_xll.MSHOLDING("ARCX:AFK","SECID","7/10/2008","3/31/2009","Freq=M,HT=stocks,mv=true,name=true")</f>
        <v>SecID</v>
      </c>
      <c r="B1" s="2" t="s">
        <v>0</v>
      </c>
      <c r="C1" s="3">
        <v>39691</v>
      </c>
      <c r="D1" s="3">
        <v>39782</v>
      </c>
      <c r="E1" s="3">
        <v>39844</v>
      </c>
      <c r="F1" s="3">
        <v>39903</v>
      </c>
    </row>
    <row r="2" spans="1:7" x14ac:dyDescent="0.25">
      <c r="A2" s="2" t="s">
        <v>1</v>
      </c>
      <c r="B2" s="2" t="s">
        <v>51</v>
      </c>
      <c r="C2" s="5">
        <v>324567</v>
      </c>
      <c r="D2" s="5">
        <v>268369</v>
      </c>
      <c r="E2" s="5">
        <v>368276</v>
      </c>
      <c r="F2" s="5">
        <v>569569</v>
      </c>
      <c r="G2" s="1" t="str">
        <f>_xll.MSDP(A2,"Exchange_Country")</f>
        <v>United Kingdom</v>
      </c>
    </row>
    <row r="3" spans="1:7" x14ac:dyDescent="0.25">
      <c r="A3" s="2" t="s">
        <v>2</v>
      </c>
      <c r="B3" s="2" t="s">
        <v>52</v>
      </c>
      <c r="C3" s="5">
        <v>167058</v>
      </c>
      <c r="D3" s="5">
        <v>181259</v>
      </c>
      <c r="E3" s="5">
        <v>156384</v>
      </c>
      <c r="F3" s="5">
        <v>325585</v>
      </c>
      <c r="G3" s="1" t="str">
        <f>_xll.MSDP(A3,"Exchange_Country")</f>
        <v>-N/A</v>
      </c>
    </row>
    <row r="4" spans="1:7" x14ac:dyDescent="0.25">
      <c r="A4" s="2" t="s">
        <v>3</v>
      </c>
      <c r="B4" s="2" t="s">
        <v>53</v>
      </c>
      <c r="C4" s="5">
        <v>100596</v>
      </c>
      <c r="D4" s="5">
        <v>149441</v>
      </c>
      <c r="E4" s="5">
        <v>173572</v>
      </c>
      <c r="F4" s="5">
        <v>291914</v>
      </c>
      <c r="G4" s="1" t="str">
        <f>_xll.MSDP(A4,"Exchange_Country")</f>
        <v>United States</v>
      </c>
    </row>
    <row r="5" spans="1:7" x14ac:dyDescent="0.25">
      <c r="A5" s="2" t="s">
        <v>4</v>
      </c>
      <c r="B5" s="2" t="s">
        <v>54</v>
      </c>
      <c r="C5" s="5">
        <v>242200</v>
      </c>
      <c r="D5" s="5">
        <v>195693</v>
      </c>
      <c r="E5" s="5">
        <v>128100</v>
      </c>
      <c r="F5" s="5">
        <v>285229</v>
      </c>
      <c r="G5" s="1" t="str">
        <f>_xll.MSDP(A5,"Exchange_Country")</f>
        <v>Nigeria</v>
      </c>
    </row>
    <row r="6" spans="1:7" x14ac:dyDescent="0.25">
      <c r="A6" s="2" t="s">
        <v>5</v>
      </c>
      <c r="B6" s="2" t="s">
        <v>55</v>
      </c>
      <c r="C6" s="5">
        <v>149447</v>
      </c>
      <c r="D6" s="5">
        <v>145574</v>
      </c>
      <c r="E6" s="5">
        <v>122943</v>
      </c>
      <c r="F6" s="5">
        <v>260876</v>
      </c>
      <c r="G6" s="1" t="str">
        <f>_xll.MSDP(A6,"Exchange_Country")</f>
        <v>-N/A</v>
      </c>
    </row>
    <row r="7" spans="1:7" x14ac:dyDescent="0.25">
      <c r="A7" s="2" t="s">
        <v>6</v>
      </c>
      <c r="B7" s="2" t="s">
        <v>56</v>
      </c>
      <c r="C7" s="5">
        <v>270373</v>
      </c>
      <c r="D7" s="5">
        <v>190009</v>
      </c>
      <c r="E7" s="5">
        <v>139533</v>
      </c>
      <c r="F7" s="5">
        <v>239881</v>
      </c>
      <c r="G7" s="1" t="str">
        <f>_xll.MSDP(A7,"Exchange_Country")</f>
        <v>South Africa</v>
      </c>
    </row>
    <row r="8" spans="1:7" x14ac:dyDescent="0.25">
      <c r="A8" s="2" t="s">
        <v>7</v>
      </c>
      <c r="B8" s="2" t="s">
        <v>57</v>
      </c>
      <c r="C8" s="5">
        <v>171622</v>
      </c>
      <c r="D8" s="5">
        <v>157352</v>
      </c>
      <c r="E8" s="5">
        <v>121986</v>
      </c>
      <c r="F8" s="5">
        <v>225378</v>
      </c>
      <c r="G8" s="1" t="str">
        <f>_xll.MSDP(A8,"Exchange_Country")</f>
        <v>South Africa</v>
      </c>
    </row>
    <row r="9" spans="1:7" x14ac:dyDescent="0.25">
      <c r="A9" s="2" t="s">
        <v>8</v>
      </c>
      <c r="B9" s="2" t="s">
        <v>58</v>
      </c>
      <c r="C9" s="1"/>
      <c r="D9" s="1"/>
      <c r="E9" s="1"/>
      <c r="F9" s="5">
        <v>222127</v>
      </c>
      <c r="G9" s="1" t="str">
        <f>_xll.MSDP(A9,"Exchange_Country")</f>
        <v>Kuwait</v>
      </c>
    </row>
    <row r="10" spans="1:7" x14ac:dyDescent="0.25">
      <c r="A10" s="2" t="s">
        <v>9</v>
      </c>
      <c r="B10" s="2" t="s">
        <v>59</v>
      </c>
      <c r="C10" s="5">
        <v>214999</v>
      </c>
      <c r="D10" s="5">
        <v>107170</v>
      </c>
      <c r="E10" s="5">
        <v>93879</v>
      </c>
      <c r="F10" s="5">
        <v>220132</v>
      </c>
      <c r="G10" s="1" t="str">
        <f>_xll.MSDP(A10,"Exchange_Country")</f>
        <v>Egypt</v>
      </c>
    </row>
    <row r="11" spans="1:7" x14ac:dyDescent="0.25">
      <c r="A11" s="2" t="s">
        <v>10</v>
      </c>
      <c r="B11" s="2" t="s">
        <v>60</v>
      </c>
      <c r="C11" s="5">
        <v>219258</v>
      </c>
      <c r="D11" s="5">
        <v>122791</v>
      </c>
      <c r="E11" s="5">
        <v>111841</v>
      </c>
      <c r="F11" s="5">
        <v>219046</v>
      </c>
      <c r="G11" s="1" t="str">
        <f>_xll.MSDP(A11,"Exchange_Country")</f>
        <v>Egypt</v>
      </c>
    </row>
    <row r="12" spans="1:7" x14ac:dyDescent="0.25">
      <c r="A12" s="2" t="s">
        <v>11</v>
      </c>
      <c r="B12" s="2" t="s">
        <v>61</v>
      </c>
      <c r="C12" s="5">
        <v>81178</v>
      </c>
      <c r="D12" s="5">
        <v>89332</v>
      </c>
      <c r="E12" s="5">
        <v>98606</v>
      </c>
      <c r="F12" s="5">
        <v>199356</v>
      </c>
      <c r="G12" s="1" t="str">
        <f>_xll.MSDP(A12,"Exchange_Country")</f>
        <v>South Africa</v>
      </c>
    </row>
    <row r="13" spans="1:7" x14ac:dyDescent="0.25">
      <c r="A13" s="2" t="s">
        <v>12</v>
      </c>
      <c r="B13" s="2" t="s">
        <v>62</v>
      </c>
      <c r="C13" s="5">
        <v>114426</v>
      </c>
      <c r="D13" s="5">
        <v>93719</v>
      </c>
      <c r="E13" s="5">
        <v>80956</v>
      </c>
      <c r="F13" s="5">
        <v>195757</v>
      </c>
      <c r="G13" s="1" t="str">
        <f>_xll.MSDP(A13,"Exchange_Country")</f>
        <v>Nigeria</v>
      </c>
    </row>
    <row r="14" spans="1:7" x14ac:dyDescent="0.25">
      <c r="A14" s="2" t="s">
        <v>13</v>
      </c>
      <c r="B14" s="2" t="s">
        <v>63</v>
      </c>
      <c r="C14" s="5">
        <v>175243</v>
      </c>
      <c r="D14" s="5">
        <v>104318</v>
      </c>
      <c r="E14" s="5">
        <v>81911</v>
      </c>
      <c r="F14" s="5">
        <v>189130</v>
      </c>
      <c r="G14" s="1" t="str">
        <f>_xll.MSDP(A14,"Exchange_Country")</f>
        <v>South Africa</v>
      </c>
    </row>
    <row r="15" spans="1:7" x14ac:dyDescent="0.25">
      <c r="A15" s="2" t="s">
        <v>14</v>
      </c>
      <c r="B15" s="2" t="s">
        <v>64</v>
      </c>
      <c r="C15" s="5">
        <v>108657</v>
      </c>
      <c r="D15" s="5">
        <v>101300</v>
      </c>
      <c r="E15" s="5">
        <v>100034</v>
      </c>
      <c r="F15" s="5">
        <v>184269</v>
      </c>
      <c r="G15" s="1" t="str">
        <f>_xll.MSDP(A15,"Exchange_Country")</f>
        <v>-N/A</v>
      </c>
    </row>
    <row r="16" spans="1:7" x14ac:dyDescent="0.25">
      <c r="A16" s="1"/>
      <c r="B16" s="2" t="s">
        <v>65</v>
      </c>
      <c r="C16" s="1"/>
      <c r="D16" s="1"/>
      <c r="E16" s="1"/>
      <c r="F16" s="5">
        <v>179598</v>
      </c>
      <c r="G16" s="1" t="s">
        <v>105</v>
      </c>
    </row>
    <row r="17" spans="1:7" x14ac:dyDescent="0.25">
      <c r="A17" s="2" t="s">
        <v>15</v>
      </c>
      <c r="B17" s="2" t="s">
        <v>66</v>
      </c>
      <c r="C17" s="5">
        <v>123551</v>
      </c>
      <c r="D17" s="5">
        <v>76049</v>
      </c>
      <c r="E17" s="5">
        <v>60068</v>
      </c>
      <c r="F17" s="5">
        <v>155368</v>
      </c>
      <c r="G17" s="1" t="str">
        <f>_xll.MSDP(A17,"Exchange_Country")</f>
        <v>-N/A</v>
      </c>
    </row>
    <row r="18" spans="1:7" x14ac:dyDescent="0.25">
      <c r="A18" s="2" t="s">
        <v>16</v>
      </c>
      <c r="B18" s="2" t="s">
        <v>67</v>
      </c>
      <c r="C18" s="5">
        <v>77040</v>
      </c>
      <c r="D18" s="5">
        <v>68975</v>
      </c>
      <c r="E18" s="5">
        <v>78052</v>
      </c>
      <c r="F18" s="5">
        <v>145250</v>
      </c>
      <c r="G18" s="1" t="str">
        <f>_xll.MSDP(A18,"Exchange_Country")</f>
        <v>Egypt</v>
      </c>
    </row>
    <row r="19" spans="1:7" x14ac:dyDescent="0.25">
      <c r="A19" s="2" t="s">
        <v>17</v>
      </c>
      <c r="B19" s="2" t="s">
        <v>68</v>
      </c>
      <c r="C19" s="5">
        <v>212082</v>
      </c>
      <c r="D19" s="5">
        <v>134910</v>
      </c>
      <c r="E19" s="5">
        <v>72680</v>
      </c>
      <c r="F19" s="5">
        <v>142781</v>
      </c>
      <c r="G19" s="1" t="str">
        <f>_xll.MSDP(A19,"Exchange_Country")</f>
        <v>Nigeria</v>
      </c>
    </row>
    <row r="20" spans="1:7" x14ac:dyDescent="0.25">
      <c r="A20" s="2" t="s">
        <v>18</v>
      </c>
      <c r="B20" s="2" t="s">
        <v>69</v>
      </c>
      <c r="C20" s="5">
        <v>59472</v>
      </c>
      <c r="D20" s="5">
        <v>76362</v>
      </c>
      <c r="E20" s="5">
        <v>82936</v>
      </c>
      <c r="F20" s="5">
        <v>139883</v>
      </c>
      <c r="G20" s="1" t="str">
        <f>_xll.MSDP(A20,"Exchange_Country")</f>
        <v>South Africa</v>
      </c>
    </row>
    <row r="21" spans="1:7" x14ac:dyDescent="0.25">
      <c r="A21" s="2" t="s">
        <v>19</v>
      </c>
      <c r="B21" s="2" t="s">
        <v>70</v>
      </c>
      <c r="C21" s="5">
        <v>132366</v>
      </c>
      <c r="D21" s="5">
        <v>50158</v>
      </c>
      <c r="E21" s="5">
        <v>61357</v>
      </c>
      <c r="F21" s="5">
        <v>135409</v>
      </c>
      <c r="G21" s="1" t="str">
        <f>_xll.MSDP(A21,"Exchange_Country")</f>
        <v>Canada</v>
      </c>
    </row>
    <row r="22" spans="1:7" x14ac:dyDescent="0.25">
      <c r="A22" s="2" t="s">
        <v>20</v>
      </c>
      <c r="B22" s="2" t="s">
        <v>71</v>
      </c>
      <c r="C22" s="5">
        <v>135908</v>
      </c>
      <c r="D22" s="5">
        <v>95918</v>
      </c>
      <c r="E22" s="5">
        <v>46727</v>
      </c>
      <c r="F22" s="5">
        <v>113252</v>
      </c>
      <c r="G22" s="1" t="str">
        <f>_xll.MSDP(A22,"Exchange_Country")</f>
        <v>Nigeria</v>
      </c>
    </row>
    <row r="23" spans="1:7" x14ac:dyDescent="0.25">
      <c r="A23" s="2" t="s">
        <v>21</v>
      </c>
      <c r="B23" s="2" t="s">
        <v>72</v>
      </c>
      <c r="C23" s="5">
        <v>70446</v>
      </c>
      <c r="D23" s="5">
        <v>65705</v>
      </c>
      <c r="E23" s="5">
        <v>57345</v>
      </c>
      <c r="F23" s="5">
        <v>112923</v>
      </c>
      <c r="G23" s="1" t="str">
        <f>_xll.MSDP(A23,"Exchange_Country")</f>
        <v>-N/A</v>
      </c>
    </row>
    <row r="24" spans="1:7" x14ac:dyDescent="0.25">
      <c r="A24" s="2" t="s">
        <v>22</v>
      </c>
      <c r="B24" s="2" t="s">
        <v>73</v>
      </c>
      <c r="C24" s="5">
        <v>82805</v>
      </c>
      <c r="D24" s="5">
        <v>81702</v>
      </c>
      <c r="E24" s="5">
        <v>60884</v>
      </c>
      <c r="F24" s="5">
        <v>108386</v>
      </c>
      <c r="G24" s="1" t="str">
        <f>_xll.MSDP(A24,"Exchange_Country")</f>
        <v>South Africa</v>
      </c>
    </row>
    <row r="25" spans="1:7" x14ac:dyDescent="0.25">
      <c r="A25" s="2" t="s">
        <v>23</v>
      </c>
      <c r="B25" s="2" t="s">
        <v>74</v>
      </c>
      <c r="C25" s="5">
        <v>106313</v>
      </c>
      <c r="D25" s="5">
        <v>83027</v>
      </c>
      <c r="E25" s="5">
        <v>46727</v>
      </c>
      <c r="F25" s="5">
        <v>108090</v>
      </c>
      <c r="G25" s="1" t="str">
        <f>_xll.MSDP(A25,"Exchange_Country")</f>
        <v>Nigeria</v>
      </c>
    </row>
    <row r="26" spans="1:7" x14ac:dyDescent="0.25">
      <c r="A26" s="2" t="s">
        <v>24</v>
      </c>
      <c r="B26" s="2" t="s">
        <v>75</v>
      </c>
      <c r="C26" s="5">
        <v>147825</v>
      </c>
      <c r="D26" s="5">
        <v>81796</v>
      </c>
      <c r="E26" s="5">
        <v>47116</v>
      </c>
      <c r="F26" s="5">
        <v>98853</v>
      </c>
      <c r="G26" s="1" t="str">
        <f>_xll.MSDP(A26,"Exchange_Country")</f>
        <v>Nigeria</v>
      </c>
    </row>
    <row r="27" spans="1:7" x14ac:dyDescent="0.25">
      <c r="A27" s="2" t="s">
        <v>25</v>
      </c>
      <c r="B27" s="2" t="s">
        <v>76</v>
      </c>
      <c r="C27" s="5">
        <v>32400</v>
      </c>
      <c r="D27" s="5">
        <v>56634</v>
      </c>
      <c r="E27" s="5">
        <v>54264</v>
      </c>
      <c r="F27" s="5">
        <v>92613</v>
      </c>
      <c r="G27" s="1" t="str">
        <f>_xll.MSDP(A27,"Exchange_Country")</f>
        <v>Canada</v>
      </c>
    </row>
    <row r="28" spans="1:7" x14ac:dyDescent="0.25">
      <c r="A28" s="2" t="s">
        <v>26</v>
      </c>
      <c r="B28" s="2" t="s">
        <v>77</v>
      </c>
      <c r="C28" s="1"/>
      <c r="D28" s="5">
        <v>59826</v>
      </c>
      <c r="E28" s="5">
        <v>50549</v>
      </c>
      <c r="F28" s="5">
        <v>88618</v>
      </c>
      <c r="G28" s="1" t="str">
        <f>_xll.MSDP(A28,"Exchange_Country")</f>
        <v>South Africa</v>
      </c>
    </row>
    <row r="29" spans="1:7" x14ac:dyDescent="0.25">
      <c r="A29" s="2" t="s">
        <v>27</v>
      </c>
      <c r="B29" s="2" t="s">
        <v>78</v>
      </c>
      <c r="C29" s="5">
        <v>60079</v>
      </c>
      <c r="D29" s="5">
        <v>37234</v>
      </c>
      <c r="E29" s="5">
        <v>40121</v>
      </c>
      <c r="F29" s="5">
        <v>86678</v>
      </c>
      <c r="G29" s="1" t="str">
        <f>_xll.MSDP(A29,"Exchange_Country")</f>
        <v>-N/A</v>
      </c>
    </row>
    <row r="30" spans="1:7" x14ac:dyDescent="0.25">
      <c r="A30" s="2" t="s">
        <v>28</v>
      </c>
      <c r="B30" s="2" t="s">
        <v>79</v>
      </c>
      <c r="C30" s="5">
        <v>158222</v>
      </c>
      <c r="D30" s="5">
        <v>82158</v>
      </c>
      <c r="E30" s="5">
        <v>37407</v>
      </c>
      <c r="F30" s="5">
        <v>86258</v>
      </c>
      <c r="G30" s="1" t="str">
        <f>_xll.MSDP(A30,"Exchange_Country")</f>
        <v>-N/A</v>
      </c>
    </row>
    <row r="31" spans="1:7" x14ac:dyDescent="0.25">
      <c r="A31" s="2" t="s">
        <v>29</v>
      </c>
      <c r="B31" s="2" t="s">
        <v>80</v>
      </c>
      <c r="C31" s="5">
        <v>103500</v>
      </c>
      <c r="D31" s="5">
        <v>54126</v>
      </c>
      <c r="E31" s="5">
        <v>51757</v>
      </c>
      <c r="F31" s="5">
        <v>78901</v>
      </c>
      <c r="G31" s="1" t="str">
        <f>_xll.MSDP(A31,"Exchange_Country")</f>
        <v>Norway</v>
      </c>
    </row>
    <row r="32" spans="1:7" x14ac:dyDescent="0.25">
      <c r="A32" s="2" t="s">
        <v>30</v>
      </c>
      <c r="B32" s="2" t="s">
        <v>81</v>
      </c>
      <c r="C32" s="5">
        <v>51958</v>
      </c>
      <c r="D32" s="5">
        <v>30314</v>
      </c>
      <c r="E32" s="5">
        <v>37573</v>
      </c>
      <c r="F32" s="5">
        <v>70393</v>
      </c>
      <c r="G32" s="1" t="str">
        <f>_xll.MSDP(A32,"Exchange_Country")</f>
        <v>-N/A</v>
      </c>
    </row>
    <row r="33" spans="1:7" x14ac:dyDescent="0.25">
      <c r="A33" s="2" t="s">
        <v>31</v>
      </c>
      <c r="B33" s="2" t="s">
        <v>82</v>
      </c>
      <c r="C33" s="5">
        <v>89011</v>
      </c>
      <c r="D33" s="5">
        <v>40049</v>
      </c>
      <c r="E33" s="5">
        <v>34012</v>
      </c>
      <c r="F33" s="5">
        <v>69842</v>
      </c>
      <c r="G33" s="1" t="str">
        <f>_xll.MSDP(A33,"Exchange_Country")</f>
        <v>Egypt</v>
      </c>
    </row>
    <row r="34" spans="1:7" x14ac:dyDescent="0.25">
      <c r="A34" s="2" t="s">
        <v>32</v>
      </c>
      <c r="B34" s="2" t="s">
        <v>83</v>
      </c>
      <c r="C34" s="5">
        <v>30650</v>
      </c>
      <c r="D34" s="5">
        <v>41142</v>
      </c>
      <c r="E34" s="5">
        <v>48195</v>
      </c>
      <c r="F34" s="5">
        <v>69789</v>
      </c>
      <c r="G34" s="1" t="str">
        <f>_xll.MSDP(A34,"Exchange_Country")</f>
        <v>South Africa</v>
      </c>
    </row>
    <row r="35" spans="1:7" x14ac:dyDescent="0.25">
      <c r="A35" s="2" t="s">
        <v>33</v>
      </c>
      <c r="B35" s="2" t="s">
        <v>84</v>
      </c>
      <c r="C35" s="5">
        <v>43937</v>
      </c>
      <c r="D35" s="5">
        <v>27805</v>
      </c>
      <c r="E35" s="5">
        <v>24830</v>
      </c>
      <c r="F35" s="5">
        <v>62082</v>
      </c>
      <c r="G35" s="1" t="str">
        <f>_xll.MSDP(A35,"Exchange_Country")</f>
        <v>Egypt</v>
      </c>
    </row>
    <row r="36" spans="1:7" x14ac:dyDescent="0.25">
      <c r="A36" s="2" t="s">
        <v>34</v>
      </c>
      <c r="B36" s="2" t="s">
        <v>85</v>
      </c>
      <c r="C36" s="5">
        <v>43695</v>
      </c>
      <c r="D36" s="5">
        <v>42097</v>
      </c>
      <c r="E36" s="5">
        <v>33601</v>
      </c>
      <c r="F36" s="5">
        <v>59950</v>
      </c>
      <c r="G36" s="1" t="str">
        <f>_xll.MSDP(A36,"Exchange_Country")</f>
        <v>South Africa</v>
      </c>
    </row>
    <row r="37" spans="1:7" x14ac:dyDescent="0.25">
      <c r="A37" s="2" t="s">
        <v>35</v>
      </c>
      <c r="B37" s="2" t="s">
        <v>86</v>
      </c>
      <c r="C37" s="5">
        <v>81377</v>
      </c>
      <c r="D37" s="5">
        <v>40560</v>
      </c>
      <c r="E37" s="5">
        <v>30805</v>
      </c>
      <c r="F37" s="5">
        <v>59702</v>
      </c>
      <c r="G37" s="1" t="str">
        <f>_xll.MSDP(A37,"Exchange_Country")</f>
        <v>South Africa</v>
      </c>
    </row>
    <row r="38" spans="1:7" x14ac:dyDescent="0.25">
      <c r="A38" s="2" t="s">
        <v>36</v>
      </c>
      <c r="B38" s="2" t="s">
        <v>87</v>
      </c>
      <c r="C38" s="5">
        <v>40633</v>
      </c>
      <c r="D38" s="5">
        <v>51788</v>
      </c>
      <c r="E38" s="5">
        <v>34596</v>
      </c>
      <c r="F38" s="5">
        <v>59657</v>
      </c>
      <c r="G38" s="1" t="str">
        <f>_xll.MSDP(A38,"Exchange_Country")</f>
        <v>Nigeria</v>
      </c>
    </row>
    <row r="39" spans="1:7" x14ac:dyDescent="0.25">
      <c r="A39" s="2" t="s">
        <v>37</v>
      </c>
      <c r="B39" s="2" t="s">
        <v>88</v>
      </c>
      <c r="C39" s="5">
        <v>51062</v>
      </c>
      <c r="D39" s="5">
        <v>40483</v>
      </c>
      <c r="E39" s="5">
        <v>31572</v>
      </c>
      <c r="F39" s="5">
        <v>58771</v>
      </c>
      <c r="G39" s="1" t="str">
        <f>_xll.MSDP(A39,"Exchange_Country")</f>
        <v>Egypt</v>
      </c>
    </row>
    <row r="40" spans="1:7" x14ac:dyDescent="0.25">
      <c r="A40" s="2" t="s">
        <v>38</v>
      </c>
      <c r="B40" s="2" t="s">
        <v>89</v>
      </c>
      <c r="C40" s="5">
        <v>53664</v>
      </c>
      <c r="D40" s="5">
        <v>55898</v>
      </c>
      <c r="E40" s="5">
        <v>41897</v>
      </c>
      <c r="F40" s="5">
        <v>58459</v>
      </c>
      <c r="G40" s="1" t="str">
        <f>_xll.MSDP(A40,"Exchange_Country")</f>
        <v>South Africa</v>
      </c>
    </row>
    <row r="41" spans="1:7" x14ac:dyDescent="0.25">
      <c r="A41" s="2" t="s">
        <v>39</v>
      </c>
      <c r="B41" s="2" t="s">
        <v>90</v>
      </c>
      <c r="C41" s="5">
        <v>107644</v>
      </c>
      <c r="D41" s="5">
        <v>44004</v>
      </c>
      <c r="E41" s="5">
        <v>35299</v>
      </c>
      <c r="F41" s="5">
        <v>57539</v>
      </c>
      <c r="G41" s="1" t="str">
        <f>_xll.MSDP(A41,"Exchange_Country")</f>
        <v>South Africa</v>
      </c>
    </row>
    <row r="42" spans="1:7" x14ac:dyDescent="0.25">
      <c r="A42" s="2" t="s">
        <v>40</v>
      </c>
      <c r="B42" s="2" t="s">
        <v>91</v>
      </c>
      <c r="C42" s="5">
        <v>59219</v>
      </c>
      <c r="D42" s="5">
        <v>28244</v>
      </c>
      <c r="E42" s="5">
        <v>31684</v>
      </c>
      <c r="F42" s="5">
        <v>57507</v>
      </c>
      <c r="G42" s="1" t="str">
        <f>_xll.MSDP(A42,"Exchange_Country")</f>
        <v>United Kingdom</v>
      </c>
    </row>
    <row r="43" spans="1:7" x14ac:dyDescent="0.25">
      <c r="A43" s="1"/>
      <c r="B43" s="2" t="s">
        <v>92</v>
      </c>
      <c r="C43" s="5">
        <v>47722</v>
      </c>
      <c r="D43" s="5">
        <v>41296</v>
      </c>
      <c r="E43" s="5">
        <v>36166</v>
      </c>
      <c r="F43" s="5">
        <v>55124</v>
      </c>
      <c r="G43" s="1" t="str">
        <f>_xll.MSDP(A43,"Exchange_Country")</f>
        <v>Null parameter</v>
      </c>
    </row>
    <row r="44" spans="1:7" x14ac:dyDescent="0.25">
      <c r="A44" s="2" t="s">
        <v>41</v>
      </c>
      <c r="B44" s="2" t="s">
        <v>93</v>
      </c>
      <c r="C44" s="5">
        <v>47885</v>
      </c>
      <c r="D44" s="5">
        <v>31863</v>
      </c>
      <c r="E44" s="5">
        <v>30379</v>
      </c>
      <c r="F44" s="5">
        <v>54994</v>
      </c>
      <c r="G44" s="1" t="str">
        <f>_xll.MSDP(A44,"Exchange_Country")</f>
        <v>-N/A</v>
      </c>
    </row>
    <row r="45" spans="1:7" x14ac:dyDescent="0.25">
      <c r="A45" s="1"/>
      <c r="B45" s="2" t="s">
        <v>94</v>
      </c>
      <c r="C45" s="5">
        <v>77938</v>
      </c>
      <c r="D45" s="5">
        <v>136270</v>
      </c>
      <c r="E45" s="5">
        <v>36832</v>
      </c>
      <c r="F45" s="5">
        <v>51861</v>
      </c>
      <c r="G45" s="1" t="str">
        <f>_xll.MSDP(A45,"Exchange_Country")</f>
        <v>Null parameter</v>
      </c>
    </row>
    <row r="46" spans="1:7" x14ac:dyDescent="0.25">
      <c r="A46" s="2" t="s">
        <v>42</v>
      </c>
      <c r="B46" s="2" t="s">
        <v>95</v>
      </c>
      <c r="C46" s="5">
        <v>64198</v>
      </c>
      <c r="D46" s="5">
        <v>32113</v>
      </c>
      <c r="E46" s="5">
        <v>29478</v>
      </c>
      <c r="F46" s="5">
        <v>51657</v>
      </c>
      <c r="G46" s="1" t="str">
        <f>_xll.MSDP(A46,"Exchange_Country")</f>
        <v>Canada</v>
      </c>
    </row>
    <row r="47" spans="1:7" x14ac:dyDescent="0.25">
      <c r="A47" s="2" t="s">
        <v>43</v>
      </c>
      <c r="B47" s="2" t="s">
        <v>96</v>
      </c>
      <c r="C47" s="5">
        <v>31518</v>
      </c>
      <c r="D47" s="5">
        <v>20836</v>
      </c>
      <c r="E47" s="5">
        <v>14462</v>
      </c>
      <c r="F47" s="5">
        <v>34575</v>
      </c>
      <c r="G47" s="1" t="str">
        <f>_xll.MSDP(A47,"Exchange_Country")</f>
        <v>-N/A</v>
      </c>
    </row>
    <row r="48" spans="1:7" x14ac:dyDescent="0.25">
      <c r="A48" s="2" t="s">
        <v>44</v>
      </c>
      <c r="B48" s="2" t="s">
        <v>97</v>
      </c>
      <c r="C48" s="5">
        <v>65381</v>
      </c>
      <c r="D48" s="5">
        <v>48393</v>
      </c>
      <c r="E48" s="5">
        <v>14084</v>
      </c>
      <c r="F48" s="5">
        <v>30663</v>
      </c>
      <c r="G48" s="1" t="str">
        <f>_xll.MSDP(A48,"Exchange_Country")</f>
        <v>-N/A</v>
      </c>
    </row>
    <row r="49" spans="1:7" x14ac:dyDescent="0.25">
      <c r="A49" s="2" t="s">
        <v>45</v>
      </c>
      <c r="B49" s="2" t="s">
        <v>98</v>
      </c>
      <c r="C49" s="5">
        <v>48627</v>
      </c>
      <c r="D49" s="5">
        <v>24088</v>
      </c>
      <c r="E49" s="5">
        <v>18526</v>
      </c>
      <c r="F49" s="5">
        <v>28984</v>
      </c>
      <c r="G49" s="1" t="str">
        <f>_xll.MSDP(A49,"Exchange_Country")</f>
        <v>South Africa</v>
      </c>
    </row>
    <row r="50" spans="1:7" x14ac:dyDescent="0.25">
      <c r="A50" s="2" t="s">
        <v>46</v>
      </c>
      <c r="B50" s="2" t="s">
        <v>99</v>
      </c>
      <c r="C50" s="5">
        <v>22082</v>
      </c>
      <c r="D50" s="5">
        <v>10409</v>
      </c>
      <c r="E50" s="5">
        <v>5011</v>
      </c>
      <c r="F50" s="5">
        <v>13626</v>
      </c>
      <c r="G50" s="1" t="str">
        <f>_xll.MSDP(A50,"Exchange_Country")</f>
        <v>United Kingdom</v>
      </c>
    </row>
    <row r="51" spans="1:7" x14ac:dyDescent="0.25">
      <c r="A51" s="2" t="s">
        <v>47</v>
      </c>
      <c r="B51" s="2" t="s">
        <v>100</v>
      </c>
      <c r="C51" s="5">
        <v>54882</v>
      </c>
      <c r="D51" s="5">
        <v>6879</v>
      </c>
      <c r="E51" s="5">
        <v>2710</v>
      </c>
      <c r="F51" s="5">
        <v>3580</v>
      </c>
      <c r="G51" s="1" t="str">
        <f>_xll.MSDP(A51,"Exchange_Country")</f>
        <v>Canada</v>
      </c>
    </row>
    <row r="52" spans="1:7" x14ac:dyDescent="0.25">
      <c r="A52" s="2" t="s">
        <v>48</v>
      </c>
      <c r="B52" s="2" t="s">
        <v>101</v>
      </c>
      <c r="C52" s="5">
        <v>137210</v>
      </c>
      <c r="D52" s="5">
        <v>137205</v>
      </c>
      <c r="E52" s="5">
        <v>93141</v>
      </c>
      <c r="F52" s="1"/>
      <c r="G52" s="1" t="str">
        <f>_xll.MSDP(A52,"Exchange_Country")</f>
        <v>South Africa</v>
      </c>
    </row>
    <row r="53" spans="1:7" x14ac:dyDescent="0.25">
      <c r="A53" s="2" t="s">
        <v>49</v>
      </c>
      <c r="B53" s="2" t="s">
        <v>102</v>
      </c>
      <c r="C53" s="1"/>
      <c r="D53" s="5">
        <v>679</v>
      </c>
      <c r="E53" s="1"/>
      <c r="F53" s="1"/>
      <c r="G53" s="1" t="str">
        <f>_xll.MSDP(A53,"Exchange_Country")</f>
        <v>United Kingdom</v>
      </c>
    </row>
    <row r="54" spans="1:7" x14ac:dyDescent="0.25">
      <c r="A54" s="2" t="s">
        <v>50</v>
      </c>
      <c r="B54" s="2" t="s">
        <v>103</v>
      </c>
      <c r="C54" s="1"/>
      <c r="D54" s="5">
        <v>5</v>
      </c>
      <c r="E54" s="1"/>
      <c r="F54" s="1"/>
      <c r="G54" s="1" t="str">
        <f>_xll.MSDP(A54,"Exchange_Country")</f>
        <v>South Africa</v>
      </c>
    </row>
    <row r="55" spans="1:7" x14ac:dyDescent="0.25">
      <c r="A55" s="1"/>
      <c r="B55" s="2" t="s">
        <v>104</v>
      </c>
      <c r="C55" s="5">
        <v>72292</v>
      </c>
      <c r="D55" s="1"/>
      <c r="E55" s="1"/>
      <c r="F55" s="1"/>
      <c r="G55" s="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wgt</vt:lpstr>
      <vt:lpstr>no of sh</vt:lpstr>
      <vt:lpstr>mkt val</vt:lpstr>
    </vt:vector>
  </TitlesOfParts>
  <Company>Brandeis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2014-07-15T18:05:16Z</dcterms:created>
  <dcterms:modified xsi:type="dcterms:W3CDTF">2014-07-15T18:35:34Z</dcterms:modified>
</cp:coreProperties>
</file>