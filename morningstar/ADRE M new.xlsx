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wgt" sheetId="1" r:id="rId1"/>
    <sheet name="mkt val" sheetId="2" r:id="rId2"/>
    <sheet name="no of shares" sheetId="3" r:id="rId3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41733.7145717593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45621"/>
</workbook>
</file>

<file path=xl/calcChain.xml><?xml version="1.0" encoding="utf-8"?>
<calcChain xmlns="http://schemas.openxmlformats.org/spreadsheetml/2006/main">
  <c r="AM13" i="1" l="1"/>
  <c r="AM11" i="1"/>
  <c r="AM63" i="1"/>
  <c r="AM56" i="1"/>
  <c r="AM45" i="1"/>
  <c r="AM38" i="1"/>
  <c r="AM39" i="1"/>
  <c r="AM21" i="1"/>
  <c r="AM57" i="1"/>
  <c r="AM19" i="1"/>
  <c r="AM22" i="1"/>
  <c r="AM61" i="1"/>
  <c r="AM58" i="1"/>
  <c r="AM48" i="1"/>
  <c r="AM62" i="1"/>
  <c r="AM49" i="1"/>
  <c r="AM16" i="1"/>
  <c r="AM20" i="1"/>
  <c r="AM15" i="1"/>
  <c r="AM30" i="1"/>
  <c r="AM41" i="1"/>
  <c r="AM7" i="1"/>
  <c r="AM43" i="1"/>
  <c r="AM8" i="1"/>
  <c r="AM33" i="1"/>
  <c r="AM50" i="1"/>
  <c r="AM54" i="1"/>
  <c r="AM55" i="1"/>
  <c r="AM18" i="1"/>
  <c r="AM53" i="1"/>
  <c r="AM65" i="1"/>
  <c r="AM9" i="1"/>
  <c r="AM66" i="1"/>
  <c r="AM23" i="1"/>
  <c r="AM67" i="1"/>
  <c r="AM35" i="1"/>
  <c r="AM25" i="1"/>
  <c r="AM60" i="1"/>
  <c r="AM17" i="1"/>
  <c r="AM10" i="1"/>
  <c r="AM47" i="1"/>
  <c r="AM31" i="1"/>
  <c r="AM36" i="1"/>
  <c r="AM6" i="1"/>
  <c r="AM5" i="1"/>
  <c r="AM44" i="1"/>
  <c r="AM14" i="1"/>
  <c r="AM12" i="1"/>
  <c r="AM3" i="1"/>
  <c r="AM28" i="1"/>
  <c r="AM34" i="1"/>
  <c r="AM64" i="1"/>
  <c r="AM42" i="1"/>
  <c r="AM32" i="1"/>
  <c r="AM27" i="1"/>
  <c r="AM24" i="1"/>
  <c r="AM4" i="1"/>
  <c r="AM40" i="1"/>
  <c r="AM51" i="1"/>
  <c r="AM37" i="1"/>
  <c r="AM29" i="1"/>
  <c r="AM46" i="1"/>
  <c r="AM26" i="1"/>
  <c r="AM59" i="1"/>
  <c r="AM2" i="1"/>
  <c r="A1" i="3"/>
  <c r="A1" i="2"/>
  <c r="A1" i="1"/>
</calcChain>
</file>

<file path=xl/sharedStrings.xml><?xml version="1.0" encoding="utf-8"?>
<sst xmlns="http://schemas.openxmlformats.org/spreadsheetml/2006/main" count="478" uniqueCount="168">
  <si>
    <t>0P0000I5TX</t>
  </si>
  <si>
    <t>0P000005AR</t>
  </si>
  <si>
    <t>0P000004BT</t>
  </si>
  <si>
    <t>0P0000018N</t>
  </si>
  <si>
    <t>0P000005EE</t>
  </si>
  <si>
    <t>0P000080JK</t>
  </si>
  <si>
    <t>0P000000OZ</t>
  </si>
  <si>
    <t>0P000000BY</t>
  </si>
  <si>
    <t>0P0000018L</t>
  </si>
  <si>
    <t>0P000004ET</t>
  </si>
  <si>
    <t>0P000001EZ</t>
  </si>
  <si>
    <t>0P000004BP</t>
  </si>
  <si>
    <t>0P000002VR</t>
  </si>
  <si>
    <t>0P000000OY</t>
  </si>
  <si>
    <t>0P000000YV</t>
  </si>
  <si>
    <t>0P0000018W</t>
  </si>
  <si>
    <t>0P00000365</t>
  </si>
  <si>
    <t>0P000004TY</t>
  </si>
  <si>
    <t>0P0000018R</t>
  </si>
  <si>
    <t>0P00002C6U</t>
  </si>
  <si>
    <t>0P000000FX</t>
  </si>
  <si>
    <t>0P000002RK</t>
  </si>
  <si>
    <t>0P00000AKT</t>
  </si>
  <si>
    <t>0P000002K4</t>
  </si>
  <si>
    <t>0P000001EY</t>
  </si>
  <si>
    <t>0P0000019E</t>
  </si>
  <si>
    <t>0P000005N7</t>
  </si>
  <si>
    <t>0P000002JD</t>
  </si>
  <si>
    <t>0P00000457</t>
  </si>
  <si>
    <t>0P00000039</t>
  </si>
  <si>
    <t>0P00000290</t>
  </si>
  <si>
    <t>0P000003O9</t>
  </si>
  <si>
    <t>0P000002GP</t>
  </si>
  <si>
    <t>0P0000015C</t>
  </si>
  <si>
    <t>0P000002EX</t>
  </si>
  <si>
    <t>0P0000018V</t>
  </si>
  <si>
    <t>0P00000368</t>
  </si>
  <si>
    <t>0P0000036Y</t>
  </si>
  <si>
    <t>0P0000HRUC</t>
  </si>
  <si>
    <t>0P000001XI</t>
  </si>
  <si>
    <t>0P000004RV</t>
  </si>
  <si>
    <t>0P000001F4</t>
  </si>
  <si>
    <t>0P000001EW</t>
  </si>
  <si>
    <t>0P000001YO</t>
  </si>
  <si>
    <t>0P000000AY</t>
  </si>
  <si>
    <t>0P000005CY</t>
  </si>
  <si>
    <t>0P000004YD</t>
  </si>
  <si>
    <t>0P000005CH</t>
  </si>
  <si>
    <t>0P000091AF</t>
  </si>
  <si>
    <t>0P000002LG</t>
  </si>
  <si>
    <t>0P000005JV</t>
  </si>
  <si>
    <t>0P000004CF</t>
  </si>
  <si>
    <t>0P0000DGL7</t>
  </si>
  <si>
    <t>0P000005LZ</t>
  </si>
  <si>
    <t>0P000005DQ</t>
  </si>
  <si>
    <t>0P000004U0</t>
  </si>
  <si>
    <t>0P000003IW</t>
  </si>
  <si>
    <t>0P0000018Q</t>
  </si>
  <si>
    <t>0P000001XH</t>
  </si>
  <si>
    <t>0P0000WUKM</t>
  </si>
  <si>
    <t>0P0000033S</t>
  </si>
  <si>
    <t>0P0000057D</t>
  </si>
  <si>
    <t>0P000005DC</t>
  </si>
  <si>
    <t>0P00006A06</t>
  </si>
  <si>
    <t>0P000003RX</t>
  </si>
  <si>
    <t>0P000005BF</t>
  </si>
  <si>
    <t>0P0000040H</t>
  </si>
  <si>
    <t>0P000005Z3</t>
  </si>
  <si>
    <t>E0BRA00TA8</t>
  </si>
  <si>
    <t>E0ESP01A0G</t>
  </si>
  <si>
    <t>0P000004W1</t>
  </si>
  <si>
    <t>0P000004TW</t>
  </si>
  <si>
    <t>0P000002PZ</t>
  </si>
  <si>
    <t>0P000003HD</t>
  </si>
  <si>
    <t>0P0000006G</t>
  </si>
  <si>
    <t>0P000005CR</t>
  </si>
  <si>
    <t>0P000000V0</t>
  </si>
  <si>
    <t>0P000001RS</t>
  </si>
  <si>
    <t>Petroleo Brasileiro S.A.</t>
  </si>
  <si>
    <t>Taiwan Semiconductor Manufacturing ADR</t>
  </si>
  <si>
    <t>Petroleo Brasileiro S.A. ADR</t>
  </si>
  <si>
    <t>China Mobile Ltd. ADR</t>
  </si>
  <si>
    <t>Teva Pharmaceutical Industries, Ltd. ADR</t>
  </si>
  <si>
    <t>Vale S.A.</t>
  </si>
  <si>
    <t>Itau Unibanco Holding S.A. ADR</t>
  </si>
  <si>
    <t>America Movil S.A.B. de C.V. ADR L</t>
  </si>
  <si>
    <t>China Life Insurance Company, Ltd. ADR</t>
  </si>
  <si>
    <t>Posco ADR</t>
  </si>
  <si>
    <t>Vale S.A. ADR</t>
  </si>
  <si>
    <t>PetroChina Company, Ltd. ADR</t>
  </si>
  <si>
    <t>Infosys Technologies, Ltd. ADR</t>
  </si>
  <si>
    <t>Bank Bradesco ADR</t>
  </si>
  <si>
    <t>CNOOC, Ltd. ADR</t>
  </si>
  <si>
    <t>China United Telecommunications Corporation Limited ADR</t>
  </si>
  <si>
    <t>KB Financial Group Inc ADR</t>
  </si>
  <si>
    <t>Sasol, Ltd. ADR</t>
  </si>
  <si>
    <t>China Petroleum &amp; Chemical Corporation ADR</t>
  </si>
  <si>
    <t>Shinhan Financial Group Co., Ltd. ADR</t>
  </si>
  <si>
    <t>AngloGold Ashanti Limited ADR</t>
  </si>
  <si>
    <t>ICICI Bank, Ltd. ADR</t>
  </si>
  <si>
    <t>AmBev ADR</t>
  </si>
  <si>
    <t>HDFC Bank, Ltd. ADR</t>
  </si>
  <si>
    <t>Companhia Siderurgica Nacional ADR</t>
  </si>
  <si>
    <t>Chunghwa Telecom Company, Ltd. ADR</t>
  </si>
  <si>
    <t>United Microelectronics Corporation ADR</t>
  </si>
  <si>
    <t>Grupo Televisa SA ADR</t>
  </si>
  <si>
    <t>P.T. Telekomunikasi Indonesia Tbk. ADR</t>
  </si>
  <si>
    <t>AU Optronics Corporation ADR</t>
  </si>
  <si>
    <t>Mexican Economic Development, Inc. ADR</t>
  </si>
  <si>
    <t>Mobile TeleSystems ADR</t>
  </si>
  <si>
    <t>Gold Fields Limited ADR</t>
  </si>
  <si>
    <t>CEMEX SAB de CV ADR</t>
  </si>
  <si>
    <t>Gerdau SA ADR</t>
  </si>
  <si>
    <t>China Telecom Corporation Limited ADR</t>
  </si>
  <si>
    <t>Korea Electric Power Corporation ADR</t>
  </si>
  <si>
    <t>LG.Display Company, Ltd. ADR</t>
  </si>
  <si>
    <t>Ecopetrol S.A. ADR</t>
  </si>
  <si>
    <t>National Electricity Company of Chile, Inc. ADR</t>
  </si>
  <si>
    <t>SK Telecom Co., Ltd. ADR</t>
  </si>
  <si>
    <t>Buenaventura Mining Company Inc. ADR</t>
  </si>
  <si>
    <t>Energy Company of Minas Gerais ADR</t>
  </si>
  <si>
    <t>Enersis SA ADR</t>
  </si>
  <si>
    <t>Aluminum Corp of China, Ltd. ADR</t>
  </si>
  <si>
    <t>Telephones of Mexico ADR L</t>
  </si>
  <si>
    <t>Siliconware Precision Industries Co, Ltd. ADR</t>
  </si>
  <si>
    <t>Tele Norte Leste Holding Company ADR</t>
  </si>
  <si>
    <t>Sterlite Industries (India), Ltd.</t>
  </si>
  <si>
    <t>Harmony Gold Mining Company Limited ADR</t>
  </si>
  <si>
    <t>Kb Finl Grp</t>
  </si>
  <si>
    <t>Turkcell Iletisim Hizmetleri AS ADR</t>
  </si>
  <si>
    <t>Philippine Long Distance Telephone ADR</t>
  </si>
  <si>
    <t>Rostelecom ADR</t>
  </si>
  <si>
    <t>Unibanco - Union of Brazilian Banks S.A. ADR</t>
  </si>
  <si>
    <t>Tenaris SA ADR</t>
  </si>
  <si>
    <t>Satyam Computer Services, Ltd. ADR</t>
  </si>
  <si>
    <t>Vimpel-Communications ADR</t>
  </si>
  <si>
    <t>Mechel OAO ADR</t>
  </si>
  <si>
    <t>China Netcom Group Corp. Ltd. ADR</t>
  </si>
  <si>
    <t>Brazilian Aviation Company ADR ADR</t>
  </si>
  <si>
    <t>Focus Media Holding, Ltd. ADR</t>
  </si>
  <si>
    <t>KT Corporation ADR</t>
  </si>
  <si>
    <t>Suntech Power Holdings Co., Ltd. ADR</t>
  </si>
  <si>
    <t>Telkom SA, Ltd. ADR</t>
  </si>
  <si>
    <t>Woori Finance Holdings Co., Ltd. ADR</t>
  </si>
  <si>
    <t>Naspers, Ltd. ADR</t>
  </si>
  <si>
    <t>Tata Motors Limited (ADR)</t>
  </si>
  <si>
    <t>AO Tatneft ADR</t>
  </si>
  <si>
    <t>Wipro, Ltd. ADR</t>
  </si>
  <si>
    <t>Companhia de Bebidas das Americas (ADR)</t>
  </si>
  <si>
    <t>Petroleo Brasileiro Sa Petrobras</t>
  </si>
  <si>
    <t>Banco Bradesco SA ADR</t>
  </si>
  <si>
    <t>Semiconductor Manufacturing Intl ADR</t>
  </si>
  <si>
    <t>Sappi ADR</t>
  </si>
  <si>
    <t>Huaneng Power International ADR</t>
  </si>
  <si>
    <t>Matav RT ADR</t>
  </si>
  <si>
    <t>Advcd Semicon Engr ADR</t>
  </si>
  <si>
    <t>Telecomunicaciones de Chile ADR</t>
  </si>
  <si>
    <t>Brasil Telecom Participacoes SA</t>
  </si>
  <si>
    <t>Hdfc Bk</t>
  </si>
  <si>
    <t>Dr Reddys Labs</t>
  </si>
  <si>
    <t>Name</t>
  </si>
  <si>
    <t>Brazilian Petroleum Corporation</t>
  </si>
  <si>
    <t>Brazilian Petroleum Corporation ADR</t>
  </si>
  <si>
    <t>Vale (ADR)</t>
  </si>
  <si>
    <t>Companhia Vale Do Rio Doce ADR</t>
  </si>
  <si>
    <t>Anglogold Ashanti Limited ADR</t>
  </si>
  <si>
    <t>American Beverage Company ADR</t>
  </si>
  <si>
    <t>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</si>
</sst>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,##0.00"/>
    <numFmt numFmtId="165" formatCode="#,##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quotePrefix="1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3"/>
  <sheetViews>
    <sheetView topLeftCell="A10" workbookViewId="0">
      <selection activeCell="AM1" sqref="AM1"/>
    </sheetView>
  </sheetViews>
  <sheetFormatPr defaultRowHeight="15" x14ac:dyDescent="0.25"/>
  <cols>
    <col min="2" max="2" width="37" customWidth="1"/>
  </cols>
  <sheetData>
    <row r="1" spans="1:39" x14ac:dyDescent="0.25">
      <c r="A1" s="1" t="str">
        <f>_xll.MSHOLDING("NAS:ADRE","SECID","11/13/2002","7/31/2009","Freq=M,HT=stocks,weight=true,name=true")</f>
        <v>SecID</v>
      </c>
      <c r="B1" s="2" t="s">
        <v>160</v>
      </c>
      <c r="C1" s="4">
        <v>37894</v>
      </c>
      <c r="D1" s="4">
        <v>38017</v>
      </c>
      <c r="E1" s="4">
        <v>38260</v>
      </c>
      <c r="F1" s="4">
        <v>38656</v>
      </c>
      <c r="G1" s="4">
        <v>38898</v>
      </c>
      <c r="H1" s="4">
        <v>38929</v>
      </c>
      <c r="I1" s="4">
        <v>38960</v>
      </c>
      <c r="J1" s="4">
        <v>38990</v>
      </c>
      <c r="K1" s="4">
        <v>39021</v>
      </c>
      <c r="L1" s="4">
        <v>39051</v>
      </c>
      <c r="M1" s="4">
        <v>39082</v>
      </c>
      <c r="N1" s="4">
        <v>39113</v>
      </c>
      <c r="O1" s="4">
        <v>39141</v>
      </c>
      <c r="P1" s="4">
        <v>39172</v>
      </c>
      <c r="Q1" s="4">
        <v>39202</v>
      </c>
      <c r="R1" s="4">
        <v>39233</v>
      </c>
      <c r="S1" s="4">
        <v>39263</v>
      </c>
      <c r="T1" s="4">
        <v>39294</v>
      </c>
      <c r="U1" s="4">
        <v>39325</v>
      </c>
      <c r="V1" s="4">
        <v>39355</v>
      </c>
      <c r="W1" s="4">
        <v>39386</v>
      </c>
      <c r="X1" s="4">
        <v>39478</v>
      </c>
      <c r="Y1" s="4">
        <v>39568</v>
      </c>
      <c r="Z1" s="4">
        <v>39599</v>
      </c>
      <c r="AA1" s="4">
        <v>39629</v>
      </c>
      <c r="AB1" s="4">
        <v>39691</v>
      </c>
      <c r="AC1" s="4">
        <v>39721</v>
      </c>
      <c r="AD1" s="4">
        <v>39752</v>
      </c>
      <c r="AE1" s="4">
        <v>39782</v>
      </c>
      <c r="AF1" s="4">
        <v>39813</v>
      </c>
      <c r="AG1" s="4">
        <v>39844</v>
      </c>
      <c r="AH1" s="4">
        <v>39872</v>
      </c>
      <c r="AI1" s="4">
        <v>39903</v>
      </c>
      <c r="AJ1" s="4">
        <v>39964</v>
      </c>
      <c r="AK1" s="4">
        <v>39994</v>
      </c>
      <c r="AL1" s="4">
        <v>40025</v>
      </c>
    </row>
    <row r="2" spans="1:39" x14ac:dyDescent="0.25">
      <c r="A2" s="2" t="s">
        <v>0</v>
      </c>
      <c r="B2" s="2" t="s">
        <v>78</v>
      </c>
      <c r="C2" s="1"/>
      <c r="D2" s="3">
        <v>2.7059500000000001</v>
      </c>
      <c r="E2" s="1"/>
      <c r="F2" s="3">
        <v>4.66547</v>
      </c>
      <c r="G2" s="3">
        <v>5.0890700000000004</v>
      </c>
      <c r="H2" s="3">
        <v>5.1572100000000001</v>
      </c>
      <c r="I2" s="3">
        <v>4.9887800000000002</v>
      </c>
      <c r="J2" s="3">
        <v>4.6275000000000004</v>
      </c>
      <c r="K2" s="3">
        <v>4.7004000000000001</v>
      </c>
      <c r="L2" s="3">
        <v>4.6082400000000003</v>
      </c>
      <c r="M2" s="3">
        <v>4.7688899999999999</v>
      </c>
      <c r="N2" s="3">
        <v>4.3590200000000001</v>
      </c>
      <c r="O2" s="3">
        <v>4.1185099999999997</v>
      </c>
      <c r="P2" s="3">
        <v>4.5081199999999999</v>
      </c>
      <c r="Q2" s="3">
        <v>4.3691300000000002</v>
      </c>
      <c r="R2" s="3">
        <v>4.3476299999999997</v>
      </c>
      <c r="S2" s="3">
        <v>2.4584999999999999</v>
      </c>
      <c r="T2" s="3">
        <v>4.8287399999999998</v>
      </c>
      <c r="U2" s="3">
        <v>4.5706199999999999</v>
      </c>
      <c r="V2" s="3">
        <v>4.8392200000000001</v>
      </c>
      <c r="W2" s="3">
        <v>5.4782500000000001</v>
      </c>
      <c r="X2" s="3">
        <v>7.2285599999999999</v>
      </c>
      <c r="Y2" s="3">
        <v>7.2149700000000001</v>
      </c>
      <c r="Z2" s="3">
        <v>8.3454800000000002</v>
      </c>
      <c r="AA2" s="3">
        <v>8.6831700000000005</v>
      </c>
      <c r="AB2" s="3">
        <v>7.3856599999999997</v>
      </c>
      <c r="AC2" s="3">
        <v>7.5400400000000003</v>
      </c>
      <c r="AD2" s="3">
        <v>6.1153500000000003</v>
      </c>
      <c r="AE2" s="3">
        <v>5.2808900000000003</v>
      </c>
      <c r="AF2" s="3">
        <v>5.5110599999999996</v>
      </c>
      <c r="AG2" s="3">
        <v>6.1817200000000003</v>
      </c>
      <c r="AH2" s="3">
        <v>6.70763</v>
      </c>
      <c r="AI2" s="3">
        <v>6.5589399999999998</v>
      </c>
      <c r="AJ2" s="3">
        <v>7.1836799999999998</v>
      </c>
      <c r="AK2" s="3">
        <v>6.9937399999999998</v>
      </c>
      <c r="AL2" s="3">
        <v>6.4357600000000001</v>
      </c>
      <c r="AM2" s="1" t="str">
        <f>_xll.MSDP(A2,"Exchange_Country")</f>
        <v>United States</v>
      </c>
    </row>
    <row r="3" spans="1:39" x14ac:dyDescent="0.25">
      <c r="A3" s="2" t="s">
        <v>1</v>
      </c>
      <c r="B3" s="2" t="s">
        <v>79</v>
      </c>
      <c r="C3" s="3">
        <v>12.975899999999999</v>
      </c>
      <c r="D3" s="3">
        <v>9.8806200000000004</v>
      </c>
      <c r="E3" s="3">
        <v>7.99925</v>
      </c>
      <c r="F3" s="3">
        <v>6.2953000000000001</v>
      </c>
      <c r="G3" s="3">
        <v>5.9595799999999999</v>
      </c>
      <c r="H3" s="3">
        <v>5.4972000000000003</v>
      </c>
      <c r="I3" s="3">
        <v>5.8674400000000002</v>
      </c>
      <c r="J3" s="3">
        <v>6.1270800000000003</v>
      </c>
      <c r="K3" s="3">
        <v>5.8131000000000004</v>
      </c>
      <c r="L3" s="3">
        <v>6.0229699999999999</v>
      </c>
      <c r="M3" s="3">
        <v>5.7555699999999996</v>
      </c>
      <c r="N3" s="3">
        <v>5.5342700000000002</v>
      </c>
      <c r="O3" s="3">
        <v>5.7843299999999997</v>
      </c>
      <c r="P3" s="3">
        <v>5.59863</v>
      </c>
      <c r="Q3" s="3">
        <v>5.3278499999999998</v>
      </c>
      <c r="R3" s="3">
        <v>5.1065800000000001</v>
      </c>
      <c r="S3" s="3">
        <v>5.8834799999999996</v>
      </c>
      <c r="T3" s="3">
        <v>5.0323200000000003</v>
      </c>
      <c r="U3" s="3">
        <v>4.8845000000000001</v>
      </c>
      <c r="V3" s="3">
        <v>4.3405300000000002</v>
      </c>
      <c r="W3" s="3">
        <v>4.0217499999999999</v>
      </c>
      <c r="X3" s="3">
        <v>4.1225100000000001</v>
      </c>
      <c r="Y3" s="3">
        <v>4.5998099999999997</v>
      </c>
      <c r="Z3" s="3">
        <v>4.5330899999999996</v>
      </c>
      <c r="AA3" s="3">
        <v>4.6295099999999998</v>
      </c>
      <c r="AB3" s="3">
        <v>4.7502199999999997</v>
      </c>
      <c r="AC3" s="3">
        <v>5.3737599999999999</v>
      </c>
      <c r="AD3" s="3">
        <v>6.51431</v>
      </c>
      <c r="AE3" s="3">
        <v>6.04434</v>
      </c>
      <c r="AF3" s="3">
        <v>6.0713999999999997</v>
      </c>
      <c r="AG3" s="3">
        <v>6.1247999999999996</v>
      </c>
      <c r="AH3" s="3">
        <v>6.4320599999999999</v>
      </c>
      <c r="AI3" s="3">
        <v>6.8196199999999996</v>
      </c>
      <c r="AJ3" s="3">
        <v>6.3964100000000004</v>
      </c>
      <c r="AK3" s="3">
        <v>5.6148999999999996</v>
      </c>
      <c r="AL3" s="3">
        <v>5.7194200000000004</v>
      </c>
      <c r="AM3" s="1" t="str">
        <f>_xll.MSDP(A3,"Exchange_Country")</f>
        <v>United States</v>
      </c>
    </row>
    <row r="4" spans="1:39" x14ac:dyDescent="0.25">
      <c r="A4" s="2" t="s">
        <v>2</v>
      </c>
      <c r="B4" s="2" t="s">
        <v>80</v>
      </c>
      <c r="C4" s="3">
        <v>2.5584600000000002</v>
      </c>
      <c r="D4" s="3">
        <v>2.1994899999999999</v>
      </c>
      <c r="E4" s="3">
        <v>3.1640100000000002</v>
      </c>
      <c r="F4" s="3">
        <v>3.77094</v>
      </c>
      <c r="G4" s="3">
        <v>4.1310099999999998</v>
      </c>
      <c r="H4" s="3">
        <v>4.1508000000000003</v>
      </c>
      <c r="I4" s="3">
        <v>4.0261399999999998</v>
      </c>
      <c r="J4" s="3">
        <v>3.76139</v>
      </c>
      <c r="K4" s="3">
        <v>3.7395100000000001</v>
      </c>
      <c r="L4" s="3">
        <v>3.7083599999999999</v>
      </c>
      <c r="M4" s="3">
        <v>3.81271</v>
      </c>
      <c r="N4" s="3">
        <v>3.5048300000000001</v>
      </c>
      <c r="O4" s="3">
        <v>3.3118599999999998</v>
      </c>
      <c r="P4" s="3">
        <v>3.6434500000000001</v>
      </c>
      <c r="Q4" s="3">
        <v>3.5974699999999999</v>
      </c>
      <c r="R4" s="3">
        <v>3.5592299999999999</v>
      </c>
      <c r="S4" s="3">
        <v>2.02806</v>
      </c>
      <c r="T4" s="3">
        <v>4.07186</v>
      </c>
      <c r="U4" s="3">
        <v>3.8532299999999999</v>
      </c>
      <c r="V4" s="3">
        <v>4.0978599999999998</v>
      </c>
      <c r="W4" s="3">
        <v>4.5699199999999998</v>
      </c>
      <c r="X4" s="3">
        <v>6.2478800000000003</v>
      </c>
      <c r="Y4" s="3">
        <v>6.2880000000000003</v>
      </c>
      <c r="Z4" s="3">
        <v>7.0640799999999997</v>
      </c>
      <c r="AA4" s="3">
        <v>7.7016</v>
      </c>
      <c r="AB4" s="3">
        <v>6.5781299999999998</v>
      </c>
      <c r="AC4" s="3">
        <v>6.4263700000000004</v>
      </c>
      <c r="AD4" s="3">
        <v>5.4069000000000003</v>
      </c>
      <c r="AE4" s="3">
        <v>4.5132300000000001</v>
      </c>
      <c r="AF4" s="3">
        <v>4.7986500000000003</v>
      </c>
      <c r="AG4" s="3">
        <v>5.4261499999999998</v>
      </c>
      <c r="AH4" s="3">
        <v>6.03111</v>
      </c>
      <c r="AI4" s="3">
        <v>5.9194000000000004</v>
      </c>
      <c r="AJ4" s="3">
        <v>6.5635300000000001</v>
      </c>
      <c r="AK4" s="3">
        <v>6.2343599999999997</v>
      </c>
      <c r="AL4" s="3">
        <v>5.7151300000000003</v>
      </c>
      <c r="AM4" s="1" t="str">
        <f>_xll.MSDP(A4,"Exchange_Country")</f>
        <v>United States</v>
      </c>
    </row>
    <row r="5" spans="1:39" x14ac:dyDescent="0.25">
      <c r="A5" s="2" t="s">
        <v>3</v>
      </c>
      <c r="B5" s="2" t="s">
        <v>81</v>
      </c>
      <c r="C5" s="3">
        <v>4.2693199999999996</v>
      </c>
      <c r="D5" s="3">
        <v>5.0915900000000001</v>
      </c>
      <c r="E5" s="3">
        <v>4.0331599999999996</v>
      </c>
      <c r="F5" s="3">
        <v>3.9037500000000001</v>
      </c>
      <c r="G5" s="3">
        <v>3.9275199999999999</v>
      </c>
      <c r="H5" s="3">
        <v>4.3346099999999996</v>
      </c>
      <c r="I5" s="3">
        <v>4.4390700000000001</v>
      </c>
      <c r="J5" s="3">
        <v>4.7074400000000001</v>
      </c>
      <c r="K5" s="3">
        <v>5.0991499999999998</v>
      </c>
      <c r="L5" s="3">
        <v>4.9332500000000001</v>
      </c>
      <c r="M5" s="3">
        <v>4.7486100000000002</v>
      </c>
      <c r="N5" s="3">
        <v>4.8845000000000001</v>
      </c>
      <c r="O5" s="3">
        <v>5.0482199999999997</v>
      </c>
      <c r="P5" s="3">
        <v>4.8735799999999996</v>
      </c>
      <c r="Q5" s="3">
        <v>4.7471199999999998</v>
      </c>
      <c r="R5" s="3">
        <v>4.5333600000000001</v>
      </c>
      <c r="S5" s="3">
        <v>5.3504500000000004</v>
      </c>
      <c r="T5" s="3">
        <v>5.3431899999999999</v>
      </c>
      <c r="U5" s="3">
        <v>6.2680999999999996</v>
      </c>
      <c r="V5" s="3">
        <v>6.60771</v>
      </c>
      <c r="W5" s="3">
        <v>7.3523199999999997</v>
      </c>
      <c r="X5" s="3">
        <v>6.3066199999999997</v>
      </c>
      <c r="Y5" s="3">
        <v>6.6335499999999996</v>
      </c>
      <c r="Z5" s="3">
        <v>5.4858799999999999</v>
      </c>
      <c r="AA5" s="3">
        <v>5.4013</v>
      </c>
      <c r="AB5" s="3">
        <v>5.2491199999999996</v>
      </c>
      <c r="AC5" s="3">
        <v>5.4332099999999999</v>
      </c>
      <c r="AD5" s="3">
        <v>6.5479900000000004</v>
      </c>
      <c r="AE5" s="3">
        <v>7.3290199999999999</v>
      </c>
      <c r="AF5" s="3">
        <v>7.39276</v>
      </c>
      <c r="AG5" s="3">
        <v>6.9102800000000002</v>
      </c>
      <c r="AH5" s="3">
        <v>6.9955499999999997</v>
      </c>
      <c r="AI5" s="3">
        <v>6.2730600000000001</v>
      </c>
      <c r="AJ5" s="3">
        <v>5.4428900000000002</v>
      </c>
      <c r="AK5" s="3">
        <v>5.6528799999999997</v>
      </c>
      <c r="AL5" s="3">
        <v>5.3951599999999997</v>
      </c>
      <c r="AM5" s="1" t="str">
        <f>_xll.MSDP(A5,"Exchange_Country")</f>
        <v>United States</v>
      </c>
    </row>
    <row r="6" spans="1:39" x14ac:dyDescent="0.25">
      <c r="A6" s="2" t="s">
        <v>4</v>
      </c>
      <c r="B6" s="2" t="s">
        <v>82</v>
      </c>
      <c r="C6" s="3">
        <v>5.5550100000000002</v>
      </c>
      <c r="D6" s="3">
        <v>4.8595899999999999</v>
      </c>
      <c r="E6" s="3">
        <v>5.03207</v>
      </c>
      <c r="F6" s="3">
        <v>5.0493699999999997</v>
      </c>
      <c r="G6" s="3">
        <v>4.0835499999999998</v>
      </c>
      <c r="H6" s="3">
        <v>4.1764000000000001</v>
      </c>
      <c r="I6" s="3">
        <v>4.3620599999999996</v>
      </c>
      <c r="J6" s="3">
        <v>4.2747400000000004</v>
      </c>
      <c r="K6" s="3">
        <v>3.8819900000000001</v>
      </c>
      <c r="L6" s="3">
        <v>3.5291100000000002</v>
      </c>
      <c r="M6" s="3">
        <v>3.2155</v>
      </c>
      <c r="N6" s="3">
        <v>3.4981800000000001</v>
      </c>
      <c r="O6" s="3">
        <v>3.6407500000000002</v>
      </c>
      <c r="P6" s="3">
        <v>3.8299300000000001</v>
      </c>
      <c r="Q6" s="3">
        <v>3.8046700000000002</v>
      </c>
      <c r="R6" s="3">
        <v>3.6048200000000001</v>
      </c>
      <c r="S6" s="3">
        <v>3.7127300000000001</v>
      </c>
      <c r="T6" s="3">
        <v>3.5472199999999998</v>
      </c>
      <c r="U6" s="3">
        <v>3.6050200000000001</v>
      </c>
      <c r="V6" s="3">
        <v>3.2475700000000001</v>
      </c>
      <c r="W6" s="3">
        <v>2.8297300000000001</v>
      </c>
      <c r="X6" s="3">
        <v>3.4824099999999998</v>
      </c>
      <c r="Y6" s="3">
        <v>3.4950600000000001</v>
      </c>
      <c r="Z6" s="3">
        <v>3.30531</v>
      </c>
      <c r="AA6" s="3">
        <v>3.59233</v>
      </c>
      <c r="AB6" s="3">
        <v>4.25929</v>
      </c>
      <c r="AC6" s="3">
        <v>4.8600899999999996</v>
      </c>
      <c r="AD6" s="3">
        <v>6.2586300000000001</v>
      </c>
      <c r="AE6" s="3">
        <v>6.7508699999999999</v>
      </c>
      <c r="AF6" s="3">
        <v>6.0548299999999999</v>
      </c>
      <c r="AG6" s="3">
        <v>6.2313200000000002</v>
      </c>
      <c r="AH6" s="3">
        <v>7.0380900000000004</v>
      </c>
      <c r="AI6" s="3">
        <v>6.3528500000000001</v>
      </c>
      <c r="AJ6" s="3">
        <v>5.0164900000000001</v>
      </c>
      <c r="AK6" s="3">
        <v>5.4486400000000001</v>
      </c>
      <c r="AL6" s="3">
        <v>5.3657399999999997</v>
      </c>
      <c r="AM6" s="1" t="str">
        <f>_xll.MSDP(A6,"Exchange_Country")</f>
        <v>United States</v>
      </c>
    </row>
    <row r="7" spans="1:39" x14ac:dyDescent="0.25">
      <c r="A7" s="2" t="s">
        <v>5</v>
      </c>
      <c r="B7" s="2" t="s">
        <v>83</v>
      </c>
      <c r="C7" s="1"/>
      <c r="D7" s="3">
        <v>1.92045</v>
      </c>
      <c r="E7" s="3">
        <v>2.5569700000000002</v>
      </c>
      <c r="F7" s="3">
        <v>3.2223999999999999</v>
      </c>
      <c r="G7" s="3">
        <v>3.2524899999999999</v>
      </c>
      <c r="H7" s="3">
        <v>3.0716800000000002</v>
      </c>
      <c r="I7" s="3">
        <v>2.7616800000000001</v>
      </c>
      <c r="J7" s="3">
        <v>2.8377300000000001</v>
      </c>
      <c r="K7" s="3">
        <v>3.1266500000000002</v>
      </c>
      <c r="L7" s="3">
        <v>3.1694200000000001</v>
      </c>
      <c r="M7" s="3">
        <v>3.3203100000000001</v>
      </c>
      <c r="N7" s="3">
        <v>3.5007000000000001</v>
      </c>
      <c r="O7" s="3">
        <v>3.6988699999999999</v>
      </c>
      <c r="P7" s="3">
        <v>3.9131300000000002</v>
      </c>
      <c r="Q7" s="3">
        <v>4.1513999999999998</v>
      </c>
      <c r="R7" s="3">
        <v>4.3151799999999998</v>
      </c>
      <c r="S7" s="3">
        <v>4.2396599999999998</v>
      </c>
      <c r="T7" s="3">
        <v>4.4647899999999998</v>
      </c>
      <c r="U7" s="3">
        <v>4.3733700000000004</v>
      </c>
      <c r="V7" s="3">
        <v>5.1918899999999999</v>
      </c>
      <c r="W7" s="3">
        <v>5.0724600000000004</v>
      </c>
      <c r="X7" s="3">
        <v>4.9200299999999997</v>
      </c>
      <c r="Y7" s="3">
        <v>5.6330900000000002</v>
      </c>
      <c r="Z7" s="3">
        <v>5.6361400000000001</v>
      </c>
      <c r="AA7" s="3">
        <v>5.5422399999999996</v>
      </c>
      <c r="AB7" s="3">
        <v>5.06426</v>
      </c>
      <c r="AC7" s="3">
        <v>4.79948</v>
      </c>
      <c r="AD7" s="3">
        <v>4.3664300000000003</v>
      </c>
      <c r="AE7" s="3">
        <v>4.3526199999999999</v>
      </c>
      <c r="AF7" s="3">
        <v>3.8698399999999999</v>
      </c>
      <c r="AG7" s="3">
        <v>4.6625100000000002</v>
      </c>
      <c r="AH7" s="3">
        <v>4.4971199999999998</v>
      </c>
      <c r="AI7" s="3">
        <v>3.96197</v>
      </c>
      <c r="AJ7" s="3">
        <v>4.3742200000000002</v>
      </c>
      <c r="AK7" s="3">
        <v>4.2220800000000001</v>
      </c>
      <c r="AL7" s="3">
        <v>4.3095600000000003</v>
      </c>
      <c r="AM7" s="1" t="str">
        <f>_xll.MSDP(A7,"Exchange_Country")</f>
        <v>United States</v>
      </c>
    </row>
    <row r="8" spans="1:39" x14ac:dyDescent="0.25">
      <c r="A8" s="2" t="s">
        <v>6</v>
      </c>
      <c r="B8" s="2" t="s">
        <v>84</v>
      </c>
      <c r="C8" s="3">
        <v>1.5187200000000001</v>
      </c>
      <c r="D8" s="3">
        <v>1.19736</v>
      </c>
      <c r="E8" s="3">
        <v>1.9470499999999999</v>
      </c>
      <c r="F8" s="3">
        <v>2.49071</v>
      </c>
      <c r="G8" s="3">
        <v>2.3759600000000001</v>
      </c>
      <c r="H8" s="3">
        <v>2.4558200000000001</v>
      </c>
      <c r="I8" s="3">
        <v>2.4077999999999999</v>
      </c>
      <c r="J8" s="3">
        <v>2.3710599999999999</v>
      </c>
      <c r="K8" s="3">
        <v>2.4638499999999999</v>
      </c>
      <c r="L8" s="3">
        <v>2.3228900000000001</v>
      </c>
      <c r="M8" s="3">
        <v>2.35012</v>
      </c>
      <c r="N8" s="3">
        <v>2.3223400000000001</v>
      </c>
      <c r="O8" s="3">
        <v>2.2075900000000002</v>
      </c>
      <c r="P8" s="3">
        <v>2.1710699999999998</v>
      </c>
      <c r="Q8" s="3">
        <v>2.3348100000000001</v>
      </c>
      <c r="R8" s="3">
        <v>2.4706899999999998</v>
      </c>
      <c r="S8" s="3">
        <v>2.5312299999999999</v>
      </c>
      <c r="T8" s="3">
        <v>2.4435199999999999</v>
      </c>
      <c r="U8" s="3">
        <v>2.3094800000000002</v>
      </c>
      <c r="V8" s="3">
        <v>2.4801299999999999</v>
      </c>
      <c r="W8" s="3">
        <v>2.4631599999999998</v>
      </c>
      <c r="X8" s="3">
        <v>2.44394</v>
      </c>
      <c r="Y8" s="3">
        <v>2.7126899999999998</v>
      </c>
      <c r="Z8" s="3">
        <v>2.87317</v>
      </c>
      <c r="AA8" s="3">
        <v>2.5775100000000002</v>
      </c>
      <c r="AB8" s="3">
        <v>2.7659500000000001</v>
      </c>
      <c r="AC8" s="3">
        <v>2.9114900000000001</v>
      </c>
      <c r="AD8" s="3">
        <v>2.5303599999999999</v>
      </c>
      <c r="AE8" s="3">
        <v>2.83982</v>
      </c>
      <c r="AF8" s="3">
        <v>2.5861700000000001</v>
      </c>
      <c r="AG8" s="3">
        <v>2.3658700000000001</v>
      </c>
      <c r="AH8" s="3">
        <v>2.2717399999999999</v>
      </c>
      <c r="AI8" s="3">
        <v>3.6206900000000002</v>
      </c>
      <c r="AJ8" s="3">
        <v>4.0984400000000001</v>
      </c>
      <c r="AK8" s="3">
        <v>4.0793499999999998</v>
      </c>
      <c r="AL8" s="3">
        <v>4.1995899999999997</v>
      </c>
      <c r="AM8" s="1" t="str">
        <f>_xll.MSDP(A8,"Exchange_Country")</f>
        <v>United States</v>
      </c>
    </row>
    <row r="9" spans="1:39" x14ac:dyDescent="0.25">
      <c r="A9" s="2" t="s">
        <v>7</v>
      </c>
      <c r="B9" s="2" t="s">
        <v>85</v>
      </c>
      <c r="C9" s="3">
        <v>3.3638300000000001</v>
      </c>
      <c r="D9" s="3">
        <v>2.7281300000000002</v>
      </c>
      <c r="E9" s="3">
        <v>3.9159099999999998</v>
      </c>
      <c r="F9" s="3">
        <v>5.0345800000000001</v>
      </c>
      <c r="G9" s="3">
        <v>5.10025</v>
      </c>
      <c r="H9" s="3">
        <v>5.3587499999999997</v>
      </c>
      <c r="I9" s="3">
        <v>5.5542499999999997</v>
      </c>
      <c r="J9" s="3">
        <v>5.8563799999999997</v>
      </c>
      <c r="K9" s="3">
        <v>5.9878299999999998</v>
      </c>
      <c r="L9" s="3">
        <v>5.8069600000000001</v>
      </c>
      <c r="M9" s="3">
        <v>5.4492900000000004</v>
      </c>
      <c r="N9" s="3">
        <v>8.5193300000000001</v>
      </c>
      <c r="O9" s="3">
        <v>8.64133</v>
      </c>
      <c r="P9" s="3">
        <v>5.3136200000000002</v>
      </c>
      <c r="Q9" s="3">
        <v>5.6688999999999998</v>
      </c>
      <c r="R9" s="3">
        <v>6.0506599999999997</v>
      </c>
      <c r="S9" s="3">
        <v>6.2902500000000003</v>
      </c>
      <c r="T9" s="3">
        <v>5.7044199999999998</v>
      </c>
      <c r="U9" s="3">
        <v>5.72011</v>
      </c>
      <c r="V9" s="3">
        <v>5.2743599999999997</v>
      </c>
      <c r="W9" s="3">
        <v>4.7446299999999999</v>
      </c>
      <c r="X9" s="3">
        <v>5.1137800000000002</v>
      </c>
      <c r="Y9" s="3">
        <v>4.4684799999999996</v>
      </c>
      <c r="Z9" s="3">
        <v>4.4578899999999999</v>
      </c>
      <c r="AA9" s="3">
        <v>4.2694000000000001</v>
      </c>
      <c r="AB9" s="3">
        <v>4.7702</v>
      </c>
      <c r="AC9" s="3">
        <v>4.9236599999999999</v>
      </c>
      <c r="AD9" s="3">
        <v>4.5186900000000003</v>
      </c>
      <c r="AE9" s="3">
        <v>4.6964399999999999</v>
      </c>
      <c r="AF9" s="3">
        <v>4.2872899999999996</v>
      </c>
      <c r="AG9" s="3">
        <v>4.1688499999999999</v>
      </c>
      <c r="AH9" s="3">
        <v>3.9127100000000001</v>
      </c>
      <c r="AI9" s="3">
        <v>3.6264699999999999</v>
      </c>
      <c r="AJ9" s="3">
        <v>3.9387099999999999</v>
      </c>
      <c r="AK9" s="3">
        <v>4.0605500000000001</v>
      </c>
      <c r="AL9" s="3">
        <v>4.1087300000000004</v>
      </c>
      <c r="AM9" s="1" t="str">
        <f>_xll.MSDP(A9,"Exchange_Country")</f>
        <v>United States</v>
      </c>
    </row>
    <row r="10" spans="1:39" x14ac:dyDescent="0.25">
      <c r="A10" s="2" t="s">
        <v>8</v>
      </c>
      <c r="B10" s="2" t="s">
        <v>86</v>
      </c>
      <c r="C10" s="1"/>
      <c r="D10" s="1"/>
      <c r="E10" s="3">
        <v>1.5168299999999999</v>
      </c>
      <c r="F10" s="3">
        <v>1.08039</v>
      </c>
      <c r="G10" s="3">
        <v>1.8263499999999999</v>
      </c>
      <c r="H10" s="3">
        <v>1.9034800000000001</v>
      </c>
      <c r="I10" s="3">
        <v>1.99057</v>
      </c>
      <c r="J10" s="3">
        <v>2.18757</v>
      </c>
      <c r="K10" s="3">
        <v>2.2214999999999998</v>
      </c>
      <c r="L10" s="3">
        <v>2.4114900000000001</v>
      </c>
      <c r="M10" s="3">
        <v>3.1103700000000001</v>
      </c>
      <c r="N10" s="3">
        <v>2.6207500000000001</v>
      </c>
      <c r="O10" s="3">
        <v>2.41377</v>
      </c>
      <c r="P10" s="3">
        <v>2.6121099999999999</v>
      </c>
      <c r="Q10" s="3">
        <v>2.7392400000000001</v>
      </c>
      <c r="R10" s="3">
        <v>2.5391900000000001</v>
      </c>
      <c r="S10" s="3">
        <v>2.9859399999999998</v>
      </c>
      <c r="T10" s="3">
        <v>3.37507</v>
      </c>
      <c r="U10" s="3">
        <v>3.7794300000000001</v>
      </c>
      <c r="V10" s="3">
        <v>3.8920599999999999</v>
      </c>
      <c r="W10" s="3">
        <v>4.04244</v>
      </c>
      <c r="X10" s="3">
        <v>2.60656</v>
      </c>
      <c r="Y10" s="3">
        <v>2.82545</v>
      </c>
      <c r="Z10" s="3">
        <v>2.5146700000000002</v>
      </c>
      <c r="AA10" s="3">
        <v>2.3593999999999999</v>
      </c>
      <c r="AB10" s="3">
        <v>2.9720300000000002</v>
      </c>
      <c r="AC10" s="3">
        <v>3.3819900000000001</v>
      </c>
      <c r="AD10" s="3">
        <v>3.3128899999999999</v>
      </c>
      <c r="AE10" s="3">
        <v>3.4758300000000002</v>
      </c>
      <c r="AF10" s="3">
        <v>3.7807900000000001</v>
      </c>
      <c r="AG10" s="3">
        <v>3.4088099999999999</v>
      </c>
      <c r="AH10" s="3">
        <v>3.76159</v>
      </c>
      <c r="AI10" s="3">
        <v>3.9779499999999999</v>
      </c>
      <c r="AJ10" s="3">
        <v>3.4367100000000002</v>
      </c>
      <c r="AK10" s="3">
        <v>3.5073400000000001</v>
      </c>
      <c r="AL10" s="3">
        <v>3.8357999999999999</v>
      </c>
      <c r="AM10" s="1" t="str">
        <f>_xll.MSDP(A10,"Exchange_Country")</f>
        <v>United States</v>
      </c>
    </row>
    <row r="11" spans="1:39" x14ac:dyDescent="0.25">
      <c r="A11" s="2" t="s">
        <v>9</v>
      </c>
      <c r="B11" s="2" t="s">
        <v>87</v>
      </c>
      <c r="C11" s="3">
        <v>1.03108</v>
      </c>
      <c r="D11" s="3">
        <v>1.22217</v>
      </c>
      <c r="E11" s="3">
        <v>1.07585</v>
      </c>
      <c r="F11" s="3">
        <v>3.4544700000000002</v>
      </c>
      <c r="G11" s="3">
        <v>3.8413499999999998</v>
      </c>
      <c r="H11" s="3">
        <v>3.4623200000000001</v>
      </c>
      <c r="I11" s="3">
        <v>3.4620600000000001</v>
      </c>
      <c r="J11" s="3">
        <v>3.3222100000000001</v>
      </c>
      <c r="K11" s="3">
        <v>3.3880300000000001</v>
      </c>
      <c r="L11" s="3">
        <v>3.54216</v>
      </c>
      <c r="M11" s="3">
        <v>3.4899200000000001</v>
      </c>
      <c r="N11" s="3">
        <v>3.58596</v>
      </c>
      <c r="O11" s="3">
        <v>3.8726600000000002</v>
      </c>
      <c r="P11" s="3">
        <v>4.34009</v>
      </c>
      <c r="Q11" s="3">
        <v>4.2444899999999999</v>
      </c>
      <c r="R11" s="3">
        <v>4.4766199999999996</v>
      </c>
      <c r="S11" s="3">
        <v>4.2846700000000002</v>
      </c>
      <c r="T11" s="3">
        <v>4.7704800000000001</v>
      </c>
      <c r="U11" s="3">
        <v>5.0989100000000001</v>
      </c>
      <c r="V11" s="3">
        <v>5.2370900000000002</v>
      </c>
      <c r="W11" s="3">
        <v>4.7394800000000004</v>
      </c>
      <c r="X11" s="3">
        <v>4.1132099999999996</v>
      </c>
      <c r="Y11" s="3">
        <v>3.2488700000000001</v>
      </c>
      <c r="Z11" s="3">
        <v>3.4804599999999999</v>
      </c>
      <c r="AA11" s="3">
        <v>3.5869800000000001</v>
      </c>
      <c r="AB11" s="3">
        <v>3.3955500000000001</v>
      </c>
      <c r="AC11" s="3">
        <v>3.4703900000000001</v>
      </c>
      <c r="AD11" s="3">
        <v>3.4341499999999998</v>
      </c>
      <c r="AE11" s="3">
        <v>3.1639499999999998</v>
      </c>
      <c r="AF11" s="3">
        <v>3.74797</v>
      </c>
      <c r="AG11" s="3">
        <v>3.3439100000000002</v>
      </c>
      <c r="AH11" s="3">
        <v>2.7736399999999999</v>
      </c>
      <c r="AI11" s="3">
        <v>3.3001800000000001</v>
      </c>
      <c r="AJ11" s="3">
        <v>3.17883</v>
      </c>
      <c r="AK11" s="3">
        <v>3.1968999999999999</v>
      </c>
      <c r="AL11" s="3">
        <v>3.5603099999999999</v>
      </c>
      <c r="AM11" s="1" t="str">
        <f>_xll.MSDP(A11,"Exchange_Country")</f>
        <v>United States</v>
      </c>
    </row>
    <row r="12" spans="1:39" x14ac:dyDescent="0.25">
      <c r="A12" s="2" t="s">
        <v>10</v>
      </c>
      <c r="B12" s="2" t="s">
        <v>88</v>
      </c>
      <c r="C12" s="3">
        <v>1.6612800000000001</v>
      </c>
      <c r="D12" s="3">
        <v>1.7405299999999999</v>
      </c>
      <c r="E12" s="3">
        <v>2.2075200000000001</v>
      </c>
      <c r="F12" s="3">
        <v>2.6694599999999999</v>
      </c>
      <c r="G12" s="3">
        <v>2.43404</v>
      </c>
      <c r="H12" s="3">
        <v>2.2942</v>
      </c>
      <c r="I12" s="3">
        <v>2.1074000000000002</v>
      </c>
      <c r="J12" s="3">
        <v>2.1175700000000002</v>
      </c>
      <c r="K12" s="3">
        <v>2.3461500000000002</v>
      </c>
      <c r="L12" s="3">
        <v>2.39344</v>
      </c>
      <c r="M12" s="3">
        <v>2.40998</v>
      </c>
      <c r="N12" s="3">
        <v>2.64866</v>
      </c>
      <c r="O12" s="3">
        <v>2.7361599999999999</v>
      </c>
      <c r="P12" s="3">
        <v>2.9645899999999998</v>
      </c>
      <c r="Q12" s="3">
        <v>3.1590199999999999</v>
      </c>
      <c r="R12" s="3">
        <v>3.2738</v>
      </c>
      <c r="S12" s="3">
        <v>3.2001499999999998</v>
      </c>
      <c r="T12" s="3">
        <v>3.3019500000000002</v>
      </c>
      <c r="U12" s="3">
        <v>3.3006899999999999</v>
      </c>
      <c r="V12" s="3">
        <v>3.95512</v>
      </c>
      <c r="W12" s="3">
        <v>3.86714</v>
      </c>
      <c r="X12" s="3">
        <v>3.6196000000000002</v>
      </c>
      <c r="Y12" s="3">
        <v>4.4300899999999999</v>
      </c>
      <c r="Z12" s="3">
        <v>4.3625100000000003</v>
      </c>
      <c r="AA12" s="3">
        <v>4.2628199999999996</v>
      </c>
      <c r="AB12" s="3">
        <v>3.62439</v>
      </c>
      <c r="AC12" s="3">
        <v>3.3271500000000001</v>
      </c>
      <c r="AD12" s="3">
        <v>3.1346400000000001</v>
      </c>
      <c r="AE12" s="3">
        <v>3.0578400000000001</v>
      </c>
      <c r="AF12" s="3">
        <v>2.8194900000000001</v>
      </c>
      <c r="AG12" s="3">
        <v>3.4722599999999999</v>
      </c>
      <c r="AH12" s="3">
        <v>3.3311700000000002</v>
      </c>
      <c r="AI12" s="3">
        <v>2.9994700000000001</v>
      </c>
      <c r="AJ12" s="3">
        <v>3.3139099999999999</v>
      </c>
      <c r="AK12" s="3">
        <v>3.1135700000000002</v>
      </c>
      <c r="AL12" s="3">
        <v>3.1741100000000002</v>
      </c>
      <c r="AM12" s="1" t="str">
        <f>_xll.MSDP(A12,"Exchange_Country")</f>
        <v>United States</v>
      </c>
    </row>
    <row r="13" spans="1:39" x14ac:dyDescent="0.25">
      <c r="A13" s="2" t="s">
        <v>11</v>
      </c>
      <c r="B13" s="2" t="s">
        <v>89</v>
      </c>
      <c r="C13" s="3">
        <v>2.34273</v>
      </c>
      <c r="D13" s="3">
        <v>1.9585699999999999</v>
      </c>
      <c r="E13" s="3">
        <v>2.6228199999999999</v>
      </c>
      <c r="F13" s="3">
        <v>2.9714900000000002</v>
      </c>
      <c r="G13" s="3">
        <v>3.3328600000000002</v>
      </c>
      <c r="H13" s="3">
        <v>3.4489700000000001</v>
      </c>
      <c r="I13" s="3">
        <v>3.3616700000000002</v>
      </c>
      <c r="J13" s="3">
        <v>3.2234799999999999</v>
      </c>
      <c r="K13" s="3">
        <v>3.1036999999999999</v>
      </c>
      <c r="L13" s="3">
        <v>3.3671799999999998</v>
      </c>
      <c r="M13" s="3">
        <v>3.47804</v>
      </c>
      <c r="N13" s="3">
        <v>2.9351400000000001</v>
      </c>
      <c r="O13" s="3">
        <v>2.8449399999999998</v>
      </c>
      <c r="P13" s="3">
        <v>2.8610199999999999</v>
      </c>
      <c r="Q13" s="3">
        <v>2.6594799999999998</v>
      </c>
      <c r="R13" s="3">
        <v>2.8381099999999999</v>
      </c>
      <c r="S13" s="3">
        <v>3.3187000000000002</v>
      </c>
      <c r="T13" s="3">
        <v>3.0829200000000001</v>
      </c>
      <c r="U13" s="3">
        <v>3.00081</v>
      </c>
      <c r="V13" s="3">
        <v>3.35242</v>
      </c>
      <c r="W13" s="3">
        <v>4.1874200000000004</v>
      </c>
      <c r="X13" s="3">
        <v>2.6679900000000001</v>
      </c>
      <c r="Y13" s="3">
        <v>2.61172</v>
      </c>
      <c r="Z13" s="3">
        <v>2.383</v>
      </c>
      <c r="AA13" s="3">
        <v>2.6307</v>
      </c>
      <c r="AB13" s="3">
        <v>3.02562</v>
      </c>
      <c r="AC13" s="3">
        <v>2.8203399999999998</v>
      </c>
      <c r="AD13" s="3">
        <v>2.8156099999999999</v>
      </c>
      <c r="AE13" s="3">
        <v>3.34185</v>
      </c>
      <c r="AF13" s="3">
        <v>3.2734999999999999</v>
      </c>
      <c r="AG13" s="3">
        <v>2.8685800000000001</v>
      </c>
      <c r="AH13" s="3">
        <v>2.8940100000000002</v>
      </c>
      <c r="AI13" s="3">
        <v>2.9070800000000001</v>
      </c>
      <c r="AJ13" s="3">
        <v>3.2549800000000002</v>
      </c>
      <c r="AK13" s="3">
        <v>3.1556799999999998</v>
      </c>
      <c r="AL13" s="3">
        <v>3.06379</v>
      </c>
      <c r="AM13" s="1" t="str">
        <f>_xll.MSDP(A13,"Exchange_Country")</f>
        <v>United States</v>
      </c>
    </row>
    <row r="14" spans="1:39" x14ac:dyDescent="0.25">
      <c r="A14" s="2" t="s">
        <v>12</v>
      </c>
      <c r="B14" s="2" t="s">
        <v>90</v>
      </c>
      <c r="C14" s="3">
        <v>3.3184800000000001</v>
      </c>
      <c r="D14" s="3">
        <v>4.2092599999999996</v>
      </c>
      <c r="E14" s="3">
        <v>4.4848699999999999</v>
      </c>
      <c r="F14" s="3">
        <v>3.6021399999999999</v>
      </c>
      <c r="G14" s="3">
        <v>3.2749100000000002</v>
      </c>
      <c r="H14" s="3">
        <v>3.4402200000000001</v>
      </c>
      <c r="I14" s="3">
        <v>3.7323900000000001</v>
      </c>
      <c r="J14" s="3">
        <v>3.9688500000000002</v>
      </c>
      <c r="K14" s="3">
        <v>4.0678400000000003</v>
      </c>
      <c r="L14" s="3">
        <v>3.9073899999999999</v>
      </c>
      <c r="M14" s="3">
        <v>3.7818399999999999</v>
      </c>
      <c r="N14" s="3">
        <v>3.8727999999999998</v>
      </c>
      <c r="O14" s="3">
        <v>3.7219099999999998</v>
      </c>
      <c r="P14" s="3">
        <v>3.4448799999999999</v>
      </c>
      <c r="Q14" s="3">
        <v>3.4833500000000002</v>
      </c>
      <c r="R14" s="3">
        <v>3.0344600000000002</v>
      </c>
      <c r="S14" s="3">
        <v>3.3397399999999999</v>
      </c>
      <c r="T14" s="3">
        <v>3.0838899999999998</v>
      </c>
      <c r="U14" s="3">
        <v>2.9460099999999998</v>
      </c>
      <c r="V14" s="3">
        <v>2.67008</v>
      </c>
      <c r="W14" s="3">
        <v>2.4747699999999999</v>
      </c>
      <c r="X14" s="3">
        <v>2.3660100000000002</v>
      </c>
      <c r="Y14" s="3">
        <v>2.30017</v>
      </c>
      <c r="Z14" s="3">
        <v>2.5012799999999999</v>
      </c>
      <c r="AA14" s="3">
        <v>2.40205</v>
      </c>
      <c r="AB14" s="3">
        <v>2.61714</v>
      </c>
      <c r="AC14" s="3">
        <v>2.4757600000000002</v>
      </c>
      <c r="AD14" s="3">
        <v>2.99674</v>
      </c>
      <c r="AE14" s="3">
        <v>2.7553399999999999</v>
      </c>
      <c r="AF14" s="3">
        <v>2.4471599999999998</v>
      </c>
      <c r="AG14" s="3">
        <v>2.7960400000000001</v>
      </c>
      <c r="AH14" s="3">
        <v>2.6754099999999998</v>
      </c>
      <c r="AI14" s="3">
        <v>2.6296900000000001</v>
      </c>
      <c r="AJ14" s="3">
        <v>2.62025</v>
      </c>
      <c r="AK14" s="3">
        <v>2.8441900000000002</v>
      </c>
      <c r="AL14" s="3">
        <v>3.0311400000000002</v>
      </c>
      <c r="AM14" s="1" t="str">
        <f>_xll.MSDP(A14,"Exchange_Country")</f>
        <v>United States</v>
      </c>
    </row>
    <row r="15" spans="1:39" x14ac:dyDescent="0.25">
      <c r="A15" s="2" t="s">
        <v>13</v>
      </c>
      <c r="B15" s="2" t="s">
        <v>91</v>
      </c>
      <c r="C15" s="1"/>
      <c r="D15" s="1"/>
      <c r="E15" s="1"/>
      <c r="F15" s="3">
        <v>2.5366599999999999</v>
      </c>
      <c r="G15" s="3">
        <v>2.3825099999999999</v>
      </c>
      <c r="H15" s="3">
        <v>2.5095000000000001</v>
      </c>
      <c r="I15" s="3">
        <v>2.43411</v>
      </c>
      <c r="J15" s="3">
        <v>2.4791699999999999</v>
      </c>
      <c r="K15" s="3">
        <v>2.5520100000000001</v>
      </c>
      <c r="L15" s="3">
        <v>2.5138400000000001</v>
      </c>
      <c r="M15" s="3">
        <v>2.6631399999999998</v>
      </c>
      <c r="N15" s="3">
        <v>2.5838899999999998</v>
      </c>
      <c r="O15" s="3">
        <v>2.4029199999999999</v>
      </c>
      <c r="P15" s="3">
        <v>2.6397699999999999</v>
      </c>
      <c r="Q15" s="3">
        <v>2.68885</v>
      </c>
      <c r="R15" s="3">
        <v>2.97906</v>
      </c>
      <c r="S15" s="3">
        <v>2.8753899999999999</v>
      </c>
      <c r="T15" s="3">
        <v>2.91275</v>
      </c>
      <c r="U15" s="3">
        <v>2.7416700000000001</v>
      </c>
      <c r="V15" s="3">
        <v>2.8420100000000001</v>
      </c>
      <c r="W15" s="3">
        <v>2.9095</v>
      </c>
      <c r="X15" s="3">
        <v>2.7556600000000002</v>
      </c>
      <c r="Y15" s="3">
        <v>3.1703800000000002</v>
      </c>
      <c r="Z15" s="3">
        <v>3.2613400000000001</v>
      </c>
      <c r="AA15" s="3">
        <v>3.0158299999999998</v>
      </c>
      <c r="AB15" s="3">
        <v>3.1128300000000002</v>
      </c>
      <c r="AC15" s="3">
        <v>3.1913299999999998</v>
      </c>
      <c r="AD15" s="3">
        <v>3.1892</v>
      </c>
      <c r="AE15" s="3">
        <v>3.1087899999999999</v>
      </c>
      <c r="AF15" s="3">
        <v>2.6217100000000002</v>
      </c>
      <c r="AG15" s="3">
        <v>2.5127600000000001</v>
      </c>
      <c r="AH15" s="3">
        <v>2.5710000000000002</v>
      </c>
      <c r="AI15" s="3">
        <v>2.6072299999999999</v>
      </c>
      <c r="AJ15" s="3">
        <v>3.0857700000000001</v>
      </c>
      <c r="AK15" s="3">
        <v>3.0460600000000002</v>
      </c>
      <c r="AL15" s="3">
        <v>2.9626299999999999</v>
      </c>
      <c r="AM15" s="1" t="str">
        <f>_xll.MSDP(A15,"Exchange_Country")</f>
        <v>United States</v>
      </c>
    </row>
    <row r="16" spans="1:39" x14ac:dyDescent="0.25">
      <c r="A16" s="2" t="s">
        <v>14</v>
      </c>
      <c r="B16" s="2" t="s">
        <v>92</v>
      </c>
      <c r="C16" s="3">
        <v>1.51153</v>
      </c>
      <c r="D16" s="3">
        <v>1.5145999999999999</v>
      </c>
      <c r="E16" s="3">
        <v>1.8599600000000001</v>
      </c>
      <c r="F16" s="3">
        <v>1.5275300000000001</v>
      </c>
      <c r="G16" s="3">
        <v>1.9260600000000001</v>
      </c>
      <c r="H16" s="3">
        <v>2.0092400000000001</v>
      </c>
      <c r="I16" s="3">
        <v>2.0275599999999998</v>
      </c>
      <c r="J16" s="3">
        <v>1.9360200000000001</v>
      </c>
      <c r="K16" s="3">
        <v>1.8293999999999999</v>
      </c>
      <c r="L16" s="3">
        <v>1.81294</v>
      </c>
      <c r="M16" s="3">
        <v>1.8147800000000001</v>
      </c>
      <c r="N16" s="3">
        <v>1.5845400000000001</v>
      </c>
      <c r="O16" s="3">
        <v>1.5283500000000001</v>
      </c>
      <c r="P16" s="3">
        <v>1.6620600000000001</v>
      </c>
      <c r="Q16" s="3">
        <v>1.5751999999999999</v>
      </c>
      <c r="R16" s="3">
        <v>1.6028800000000001</v>
      </c>
      <c r="S16" s="3">
        <v>1.9699199999999999</v>
      </c>
      <c r="T16" s="3">
        <v>1.9273899999999999</v>
      </c>
      <c r="U16" s="3">
        <v>1.9835199999999999</v>
      </c>
      <c r="V16" s="3">
        <v>2.33975</v>
      </c>
      <c r="W16" s="3">
        <v>2.6797399999999998</v>
      </c>
      <c r="X16" s="3">
        <v>2.1219800000000002</v>
      </c>
      <c r="Y16" s="3">
        <v>2.3817300000000001</v>
      </c>
      <c r="Z16" s="3">
        <v>2.30071</v>
      </c>
      <c r="AA16" s="3">
        <v>2.4437799999999998</v>
      </c>
      <c r="AB16" s="3">
        <v>2.5160200000000001</v>
      </c>
      <c r="AC16" s="3">
        <v>2.2356199999999999</v>
      </c>
      <c r="AD16" s="3">
        <v>2.19312</v>
      </c>
      <c r="AE16" s="3">
        <v>2.3599899999999998</v>
      </c>
      <c r="AF16" s="3">
        <v>2.4916700000000001</v>
      </c>
      <c r="AG16" s="3">
        <v>2.3791600000000002</v>
      </c>
      <c r="AH16" s="3">
        <v>2.4953599999999998</v>
      </c>
      <c r="AI16" s="3">
        <v>2.6094200000000001</v>
      </c>
      <c r="AJ16" s="3">
        <v>2.6674699999999998</v>
      </c>
      <c r="AK16" s="3">
        <v>2.4990299999999999</v>
      </c>
      <c r="AL16" s="3">
        <v>2.4670399999999999</v>
      </c>
      <c r="AM16" s="1" t="str">
        <f>_xll.MSDP(A16,"Exchange_Country")</f>
        <v>United States</v>
      </c>
    </row>
    <row r="17" spans="1:39" x14ac:dyDescent="0.25">
      <c r="A17" s="2" t="s">
        <v>15</v>
      </c>
      <c r="B17" s="2" t="s">
        <v>93</v>
      </c>
      <c r="C17" s="3">
        <v>0.93108999999999997</v>
      </c>
      <c r="D17" s="3">
        <v>1.0466299999999999</v>
      </c>
      <c r="E17" s="3">
        <v>0.70533000000000001</v>
      </c>
      <c r="F17" s="1"/>
      <c r="G17" s="1"/>
      <c r="H17" s="1"/>
      <c r="I17" s="1"/>
      <c r="J17" s="3">
        <v>0.93459999999999999</v>
      </c>
      <c r="K17" s="3">
        <v>0.98794000000000004</v>
      </c>
      <c r="L17" s="3">
        <v>0.96977000000000002</v>
      </c>
      <c r="M17" s="3">
        <v>1.1739999999999999</v>
      </c>
      <c r="N17" s="3">
        <v>1.0299199999999999</v>
      </c>
      <c r="O17" s="3">
        <v>0.98389000000000004</v>
      </c>
      <c r="P17" s="3">
        <v>1.1033999999999999</v>
      </c>
      <c r="Q17" s="3">
        <v>1.0966800000000001</v>
      </c>
      <c r="R17" s="3">
        <v>1.02881</v>
      </c>
      <c r="S17" s="3">
        <v>1.2273799999999999</v>
      </c>
      <c r="T17" s="3">
        <v>1.18258</v>
      </c>
      <c r="U17" s="3">
        <v>1.2607200000000001</v>
      </c>
      <c r="V17" s="3">
        <v>1.20452</v>
      </c>
      <c r="W17" s="3">
        <v>1.24779</v>
      </c>
      <c r="X17" s="3">
        <v>1.53782</v>
      </c>
      <c r="Y17" s="3">
        <v>1.2887999999999999</v>
      </c>
      <c r="Z17" s="3">
        <v>1.2115499999999999</v>
      </c>
      <c r="AA17" s="3">
        <v>1.1616899999999999</v>
      </c>
      <c r="AB17" s="3">
        <v>1.1426000000000001</v>
      </c>
      <c r="AC17" s="3">
        <v>0.76834000000000002</v>
      </c>
      <c r="AD17" s="3">
        <v>1.7741800000000001</v>
      </c>
      <c r="AE17" s="3">
        <v>1.6298699999999999</v>
      </c>
      <c r="AF17" s="3">
        <v>2.7016100000000001</v>
      </c>
      <c r="AG17" s="3">
        <v>2.1509900000000002</v>
      </c>
      <c r="AH17" s="3">
        <v>2.1802299999999999</v>
      </c>
      <c r="AI17" s="3">
        <v>2.2855400000000001</v>
      </c>
      <c r="AJ17" s="3">
        <v>2.0805699999999998</v>
      </c>
      <c r="AK17" s="3">
        <v>2.2935599999999998</v>
      </c>
      <c r="AL17" s="3">
        <v>2.2521599999999999</v>
      </c>
      <c r="AM17" s="1" t="str">
        <f>_xll.MSDP(A17,"Exchange_Country")</f>
        <v>United States</v>
      </c>
    </row>
    <row r="18" spans="1:39" x14ac:dyDescent="0.25">
      <c r="A18" s="2" t="s">
        <v>16</v>
      </c>
      <c r="B18" s="2" t="s">
        <v>94</v>
      </c>
      <c r="C18" s="3">
        <v>3.8753700000000002</v>
      </c>
      <c r="D18" s="3">
        <v>5.3599899999999998</v>
      </c>
      <c r="E18" s="3">
        <v>3.1175999999999999</v>
      </c>
      <c r="F18" s="3">
        <v>4.1069000000000004</v>
      </c>
      <c r="G18" s="3">
        <v>4.6001099999999999</v>
      </c>
      <c r="H18" s="3">
        <v>4.6649000000000003</v>
      </c>
      <c r="I18" s="3">
        <v>4.3324999999999996</v>
      </c>
      <c r="J18" s="3">
        <v>4.1921200000000001</v>
      </c>
      <c r="K18" s="3">
        <v>4.0033500000000002</v>
      </c>
      <c r="L18" s="3">
        <v>3.6903700000000002</v>
      </c>
      <c r="M18" s="3">
        <v>3.57443</v>
      </c>
      <c r="N18" s="3">
        <v>3.3958900000000001</v>
      </c>
      <c r="O18" s="3">
        <v>3.9189400000000001</v>
      </c>
      <c r="P18" s="3">
        <v>3.9520900000000001</v>
      </c>
      <c r="Q18" s="3">
        <v>3.8218200000000002</v>
      </c>
      <c r="R18" s="3">
        <v>3.56134</v>
      </c>
      <c r="S18" s="3">
        <v>3.5129600000000001</v>
      </c>
      <c r="T18" s="3">
        <v>3.2223799999999998</v>
      </c>
      <c r="U18" s="3">
        <v>3.0383599999999999</v>
      </c>
      <c r="V18" s="3">
        <v>2.6641400000000002</v>
      </c>
      <c r="W18" s="3">
        <v>2.3370199999999999</v>
      </c>
      <c r="X18" s="3">
        <v>2.2380399999999998</v>
      </c>
      <c r="Y18" s="3">
        <v>2.16249</v>
      </c>
      <c r="Z18" s="3">
        <v>1.8731100000000001</v>
      </c>
      <c r="AA18" s="3">
        <v>1.9044000000000001</v>
      </c>
      <c r="AB18" s="3">
        <v>2.0459700000000001</v>
      </c>
      <c r="AC18" s="3">
        <v>1.99983</v>
      </c>
      <c r="AD18" s="3">
        <v>1.48125</v>
      </c>
      <c r="AE18" s="3">
        <v>1.3154999999999999</v>
      </c>
      <c r="AF18" s="3">
        <v>1.6279600000000001</v>
      </c>
      <c r="AG18" s="3">
        <v>1.6983600000000001</v>
      </c>
      <c r="AH18" s="3">
        <v>1.2980100000000001</v>
      </c>
      <c r="AI18" s="3">
        <v>1.4939199999999999</v>
      </c>
      <c r="AJ18" s="3">
        <v>1.5108699999999999</v>
      </c>
      <c r="AK18" s="3">
        <v>1.6069599999999999</v>
      </c>
      <c r="AL18" s="3">
        <v>2.0322200000000001</v>
      </c>
      <c r="AM18" s="1" t="str">
        <f>_xll.MSDP(A18,"Exchange_Country")</f>
        <v>United States</v>
      </c>
    </row>
    <row r="19" spans="1:39" x14ac:dyDescent="0.25">
      <c r="A19" s="2" t="s">
        <v>17</v>
      </c>
      <c r="B19" s="2" t="s">
        <v>95</v>
      </c>
      <c r="C19" s="3">
        <v>2.7062200000000001</v>
      </c>
      <c r="D19" s="3">
        <v>3.19448</v>
      </c>
      <c r="E19" s="3">
        <v>2.8011900000000001</v>
      </c>
      <c r="F19" s="3">
        <v>3.17259</v>
      </c>
      <c r="G19" s="3">
        <v>3.0171800000000002</v>
      </c>
      <c r="H19" s="3">
        <v>2.79508</v>
      </c>
      <c r="I19" s="3">
        <v>2.6531699999999998</v>
      </c>
      <c r="J19" s="3">
        <v>2.4912800000000002</v>
      </c>
      <c r="K19" s="3">
        <v>2.4331499999999999</v>
      </c>
      <c r="L19" s="3">
        <v>2.3439100000000002</v>
      </c>
      <c r="M19" s="3">
        <v>2.3121</v>
      </c>
      <c r="N19" s="3">
        <v>2.05585</v>
      </c>
      <c r="O19" s="3">
        <v>1.99665</v>
      </c>
      <c r="P19" s="3">
        <v>2.04813</v>
      </c>
      <c r="Q19" s="3">
        <v>2.0552600000000001</v>
      </c>
      <c r="R19" s="3">
        <v>2.0256400000000001</v>
      </c>
      <c r="S19" s="3">
        <v>2.1251600000000002</v>
      </c>
      <c r="T19" s="3">
        <v>1.9969399999999999</v>
      </c>
      <c r="U19" s="3">
        <v>2.1213899999999999</v>
      </c>
      <c r="V19" s="3">
        <v>1.97464</v>
      </c>
      <c r="W19" s="3">
        <v>2.05687</v>
      </c>
      <c r="X19" s="3">
        <v>2.2428900000000001</v>
      </c>
      <c r="Y19" s="3">
        <v>2.4359799999999998</v>
      </c>
      <c r="Z19" s="3">
        <v>2.6166399999999999</v>
      </c>
      <c r="AA19" s="3">
        <v>2.66072</v>
      </c>
      <c r="AB19" s="3">
        <v>2.8475799999999998</v>
      </c>
      <c r="AC19" s="3">
        <v>2.5793900000000001</v>
      </c>
      <c r="AD19" s="3">
        <v>2.4150800000000001</v>
      </c>
      <c r="AE19" s="3">
        <v>2.5556399999999999</v>
      </c>
      <c r="AF19" s="3">
        <v>2.2845</v>
      </c>
      <c r="AG19" s="3">
        <v>2.1136699999999999</v>
      </c>
      <c r="AH19" s="3">
        <v>2.101</v>
      </c>
      <c r="AI19" s="3">
        <v>2.16194</v>
      </c>
      <c r="AJ19" s="3">
        <v>2.1654499999999999</v>
      </c>
      <c r="AK19" s="3">
        <v>2.03627</v>
      </c>
      <c r="AL19" s="3">
        <v>1.9028700000000001</v>
      </c>
      <c r="AM19" s="1" t="str">
        <f>_xll.MSDP(A19,"Exchange_Country")</f>
        <v>United States</v>
      </c>
    </row>
    <row r="20" spans="1:39" x14ac:dyDescent="0.25">
      <c r="A20" s="2" t="s">
        <v>18</v>
      </c>
      <c r="B20" s="2" t="s">
        <v>96</v>
      </c>
      <c r="C20" s="3">
        <v>1.0674600000000001</v>
      </c>
      <c r="D20" s="3">
        <v>0.94474999999999998</v>
      </c>
      <c r="E20" s="3">
        <v>1.7854099999999999</v>
      </c>
      <c r="F20" s="3">
        <v>1.4187799999999999</v>
      </c>
      <c r="G20" s="3">
        <v>1.58144</v>
      </c>
      <c r="H20" s="3">
        <v>1.552</v>
      </c>
      <c r="I20" s="3">
        <v>1.58446</v>
      </c>
      <c r="J20" s="3">
        <v>1.65951</v>
      </c>
      <c r="K20" s="3">
        <v>1.7457400000000001</v>
      </c>
      <c r="L20" s="3">
        <v>1.8787</v>
      </c>
      <c r="M20" s="3">
        <v>2.0484599999999999</v>
      </c>
      <c r="N20" s="3">
        <v>1.7818099999999999</v>
      </c>
      <c r="O20" s="3">
        <v>1.7424999999999999</v>
      </c>
      <c r="P20" s="3">
        <v>1.8475699999999999</v>
      </c>
      <c r="Q20" s="3">
        <v>1.8512599999999999</v>
      </c>
      <c r="R20" s="3">
        <v>2.15835</v>
      </c>
      <c r="S20" s="3">
        <v>2.23034</v>
      </c>
      <c r="T20" s="3">
        <v>1.96688</v>
      </c>
      <c r="U20" s="3">
        <v>2.0497700000000001</v>
      </c>
      <c r="V20" s="3">
        <v>1.99556</v>
      </c>
      <c r="W20" s="3">
        <v>2.3679700000000001</v>
      </c>
      <c r="X20" s="3">
        <v>1.8068200000000001</v>
      </c>
      <c r="Y20" s="3">
        <v>1.6627799999999999</v>
      </c>
      <c r="Z20" s="3">
        <v>1.5092300000000001</v>
      </c>
      <c r="AA20" s="3">
        <v>1.50823</v>
      </c>
      <c r="AB20" s="3">
        <v>1.81203</v>
      </c>
      <c r="AC20" s="3">
        <v>1.71028</v>
      </c>
      <c r="AD20" s="3">
        <v>1.95259</v>
      </c>
      <c r="AE20" s="3">
        <v>2.1412599999999999</v>
      </c>
      <c r="AF20" s="3">
        <v>1.8079400000000001</v>
      </c>
      <c r="AG20" s="3">
        <v>1.67187</v>
      </c>
      <c r="AH20" s="3">
        <v>1.7034499999999999</v>
      </c>
      <c r="AI20" s="3">
        <v>1.86154</v>
      </c>
      <c r="AJ20" s="3">
        <v>1.82538</v>
      </c>
      <c r="AK20" s="3">
        <v>1.72333</v>
      </c>
      <c r="AL20" s="3">
        <v>1.8491899999999999</v>
      </c>
      <c r="AM20" s="1" t="str">
        <f>_xll.MSDP(A20,"Exchange_Country")</f>
        <v>United States</v>
      </c>
    </row>
    <row r="21" spans="1:39" x14ac:dyDescent="0.25">
      <c r="A21" s="2" t="s">
        <v>19</v>
      </c>
      <c r="B21" s="2" t="s">
        <v>97</v>
      </c>
      <c r="C21" s="1"/>
      <c r="D21" s="1"/>
      <c r="E21" s="3">
        <v>1.55264</v>
      </c>
      <c r="F21" s="3">
        <v>2.1997200000000001</v>
      </c>
      <c r="G21" s="3">
        <v>2.6116899999999998</v>
      </c>
      <c r="H21" s="3">
        <v>2.6564899999999998</v>
      </c>
      <c r="I21" s="3">
        <v>2.41161</v>
      </c>
      <c r="J21" s="3">
        <v>2.32965</v>
      </c>
      <c r="K21" s="3">
        <v>2.2508699999999999</v>
      </c>
      <c r="L21" s="3">
        <v>2.23753</v>
      </c>
      <c r="M21" s="3">
        <v>2.4280599999999999</v>
      </c>
      <c r="N21" s="3">
        <v>2.3541599999999998</v>
      </c>
      <c r="O21" s="3">
        <v>2.6139800000000002</v>
      </c>
      <c r="P21" s="3">
        <v>2.6463000000000001</v>
      </c>
      <c r="Q21" s="3">
        <v>2.5295800000000002</v>
      </c>
      <c r="R21" s="3">
        <v>2.5698300000000001</v>
      </c>
      <c r="S21" s="3">
        <v>2.6002299999999998</v>
      </c>
      <c r="T21" s="3">
        <v>2.7040299999999999</v>
      </c>
      <c r="U21" s="3">
        <v>2.4519500000000001</v>
      </c>
      <c r="V21" s="3">
        <v>2.1686200000000002</v>
      </c>
      <c r="W21" s="3">
        <v>1.9490700000000001</v>
      </c>
      <c r="X21" s="3">
        <v>1.9689399999999999</v>
      </c>
      <c r="Y21" s="3">
        <v>1.9461999999999999</v>
      </c>
      <c r="Z21" s="3">
        <v>1.63035</v>
      </c>
      <c r="AA21" s="3">
        <v>1.5764499999999999</v>
      </c>
      <c r="AB21" s="3">
        <v>1.81917</v>
      </c>
      <c r="AC21" s="3">
        <v>1.71669</v>
      </c>
      <c r="AD21" s="3">
        <v>1.64781</v>
      </c>
      <c r="AE21" s="3">
        <v>1.5038899999999999</v>
      </c>
      <c r="AF21" s="3">
        <v>1.5224599999999999</v>
      </c>
      <c r="AG21" s="3">
        <v>1.3604400000000001</v>
      </c>
      <c r="AH21" s="3">
        <v>1.21614</v>
      </c>
      <c r="AI21" s="3">
        <v>1.31993</v>
      </c>
      <c r="AJ21" s="3">
        <v>1.4337899999999999</v>
      </c>
      <c r="AK21" s="3">
        <v>1.5248600000000001</v>
      </c>
      <c r="AL21" s="3">
        <v>1.8385800000000001</v>
      </c>
      <c r="AM21" s="1" t="str">
        <f>_xll.MSDP(A21,"Exchange_Country")</f>
        <v>United States</v>
      </c>
    </row>
    <row r="22" spans="1:39" x14ac:dyDescent="0.25">
      <c r="A22" s="2" t="s">
        <v>20</v>
      </c>
      <c r="B22" s="2" t="s">
        <v>98</v>
      </c>
      <c r="C22" s="3">
        <v>1.56152</v>
      </c>
      <c r="D22" s="3">
        <v>1.94469</v>
      </c>
      <c r="E22" s="3">
        <v>1.57734</v>
      </c>
      <c r="F22" s="3">
        <v>1.0432900000000001</v>
      </c>
      <c r="G22" s="3">
        <v>1.2684299999999999</v>
      </c>
      <c r="H22" s="3">
        <v>1.2509600000000001</v>
      </c>
      <c r="I22" s="3">
        <v>1.1804699999999999</v>
      </c>
      <c r="J22" s="3">
        <v>0.96501999999999999</v>
      </c>
      <c r="K22" s="3">
        <v>1.02213</v>
      </c>
      <c r="L22" s="3">
        <v>1.0824</v>
      </c>
      <c r="M22" s="3">
        <v>0.99346999999999996</v>
      </c>
      <c r="N22" s="3">
        <v>0.95518000000000003</v>
      </c>
      <c r="O22" s="3">
        <v>0.91988000000000003</v>
      </c>
      <c r="P22" s="3">
        <v>0.9304</v>
      </c>
      <c r="Q22" s="3">
        <v>0.90266000000000002</v>
      </c>
      <c r="R22" s="3">
        <v>0.78241000000000005</v>
      </c>
      <c r="S22" s="3">
        <v>0.72087000000000001</v>
      </c>
      <c r="T22" s="3">
        <v>0.75370999999999999</v>
      </c>
      <c r="U22" s="3">
        <v>0.69296999999999997</v>
      </c>
      <c r="V22" s="3">
        <v>0.72519</v>
      </c>
      <c r="W22" s="3">
        <v>0.89754999999999996</v>
      </c>
      <c r="X22" s="3">
        <v>0.94494</v>
      </c>
      <c r="Y22" s="3">
        <v>0.71448</v>
      </c>
      <c r="Z22" s="3">
        <v>0.70476000000000005</v>
      </c>
      <c r="AA22" s="3">
        <v>0.94211999999999996</v>
      </c>
      <c r="AB22" s="3">
        <v>0.85716999999999999</v>
      </c>
      <c r="AC22" s="3">
        <v>0.86229</v>
      </c>
      <c r="AD22" s="3">
        <v>0.93679999999999997</v>
      </c>
      <c r="AE22" s="3">
        <v>1.17475</v>
      </c>
      <c r="AF22" s="3">
        <v>1.38611</v>
      </c>
      <c r="AG22" s="3">
        <v>1.5168900000000001</v>
      </c>
      <c r="AH22" s="3">
        <v>1.6562699999999999</v>
      </c>
      <c r="AI22" s="3">
        <v>1.8230999999999999</v>
      </c>
      <c r="AJ22" s="3">
        <v>1.6109500000000001</v>
      </c>
      <c r="AK22" s="3">
        <v>1.75291</v>
      </c>
      <c r="AL22" s="3">
        <v>1.70882</v>
      </c>
      <c r="AM22" s="1" t="str">
        <f>_xll.MSDP(A22,"Exchange_Country")</f>
        <v>United States</v>
      </c>
    </row>
    <row r="23" spans="1:39" x14ac:dyDescent="0.25">
      <c r="A23" s="2" t="s">
        <v>21</v>
      </c>
      <c r="B23" s="2" t="s">
        <v>99</v>
      </c>
      <c r="C23" s="3">
        <v>0.99412</v>
      </c>
      <c r="D23" s="3">
        <v>0.89566999999999997</v>
      </c>
      <c r="E23" s="3">
        <v>1.4135200000000001</v>
      </c>
      <c r="F23" s="3">
        <v>1.3603000000000001</v>
      </c>
      <c r="G23" s="3">
        <v>1.28199</v>
      </c>
      <c r="H23" s="3">
        <v>1.38286</v>
      </c>
      <c r="I23" s="3">
        <v>1.40452</v>
      </c>
      <c r="J23" s="3">
        <v>1.61483</v>
      </c>
      <c r="K23" s="3">
        <v>1.7355100000000001</v>
      </c>
      <c r="L23" s="3">
        <v>1.7961100000000001</v>
      </c>
      <c r="M23" s="3">
        <v>1.81087</v>
      </c>
      <c r="N23" s="3">
        <v>1.8451599999999999</v>
      </c>
      <c r="O23" s="3">
        <v>1.64564</v>
      </c>
      <c r="P23" s="3">
        <v>1.5768899999999999</v>
      </c>
      <c r="Q23" s="3">
        <v>1.7041999999999999</v>
      </c>
      <c r="R23" s="3">
        <v>1.83375</v>
      </c>
      <c r="S23" s="3">
        <v>1.9265399999999999</v>
      </c>
      <c r="T23" s="3">
        <v>1.6293599999999999</v>
      </c>
      <c r="U23" s="3">
        <v>1.6229100000000001</v>
      </c>
      <c r="V23" s="3">
        <v>2.0433699999999999</v>
      </c>
      <c r="W23" s="3">
        <v>2.3696199999999998</v>
      </c>
      <c r="X23" s="3">
        <v>2.4391400000000001</v>
      </c>
      <c r="Y23" s="3">
        <v>1.6490199999999999</v>
      </c>
      <c r="Z23" s="3">
        <v>1.3498399999999999</v>
      </c>
      <c r="AA23" s="3">
        <v>1.1165700000000001</v>
      </c>
      <c r="AB23" s="3">
        <v>1.38147</v>
      </c>
      <c r="AC23" s="3">
        <v>1.26041</v>
      </c>
      <c r="AD23" s="3">
        <v>1.2594000000000001</v>
      </c>
      <c r="AE23" s="3">
        <v>1.12483</v>
      </c>
      <c r="AF23" s="3">
        <v>1.3823700000000001</v>
      </c>
      <c r="AG23" s="3">
        <v>1.2508600000000001</v>
      </c>
      <c r="AH23" s="3">
        <v>0.99317999999999995</v>
      </c>
      <c r="AI23" s="3">
        <v>0.94623000000000002</v>
      </c>
      <c r="AJ23" s="3">
        <v>1.70126</v>
      </c>
      <c r="AK23" s="3">
        <v>1.6447700000000001</v>
      </c>
      <c r="AL23" s="3">
        <v>1.5922499999999999</v>
      </c>
      <c r="AM23" s="1" t="str">
        <f>_xll.MSDP(A23,"Exchange_Country")</f>
        <v>United States</v>
      </c>
    </row>
    <row r="24" spans="1:39" x14ac:dyDescent="0.25">
      <c r="A24" s="2" t="s">
        <v>22</v>
      </c>
      <c r="B24" s="2" t="s">
        <v>100</v>
      </c>
      <c r="C24" s="1"/>
      <c r="D24" s="1"/>
      <c r="E24" s="1"/>
      <c r="F24" s="1"/>
      <c r="G24" s="3">
        <v>1.35138</v>
      </c>
      <c r="H24" s="3">
        <v>1.28793</v>
      </c>
      <c r="I24" s="3">
        <v>1.42682</v>
      </c>
      <c r="J24" s="3">
        <v>1.4421600000000001</v>
      </c>
      <c r="K24" s="3">
        <v>1.3028299999999999</v>
      </c>
      <c r="L24" s="3">
        <v>1.2863599999999999</v>
      </c>
      <c r="M24" s="3">
        <v>1.22133</v>
      </c>
      <c r="N24" s="3">
        <v>1.2471699999999999</v>
      </c>
      <c r="O24" s="3">
        <v>1.1980299999999999</v>
      </c>
      <c r="P24" s="3">
        <v>1.36039</v>
      </c>
      <c r="Q24" s="3">
        <v>1.40347</v>
      </c>
      <c r="R24" s="3">
        <v>1.5086200000000001</v>
      </c>
      <c r="S24" s="3">
        <v>1.3928199999999999</v>
      </c>
      <c r="T24" s="3">
        <v>1.2783599999999999</v>
      </c>
      <c r="U24" s="3">
        <v>1.29684</v>
      </c>
      <c r="V24" s="3">
        <v>1.14916</v>
      </c>
      <c r="W24" s="3">
        <v>1.13056</v>
      </c>
      <c r="X24" s="3">
        <v>1.15686</v>
      </c>
      <c r="Y24" s="3">
        <v>1.0989899999999999</v>
      </c>
      <c r="Z24" s="3">
        <v>1.0032099999999999</v>
      </c>
      <c r="AA24" s="3">
        <v>0.95833999999999997</v>
      </c>
      <c r="AB24" s="3">
        <v>1.0740000000000001</v>
      </c>
      <c r="AC24" s="3">
        <v>1.1109199999999999</v>
      </c>
      <c r="AD24" s="3">
        <v>1.18893</v>
      </c>
      <c r="AE24" s="3">
        <v>1.30352</v>
      </c>
      <c r="AF24" s="3">
        <v>1.2079200000000001</v>
      </c>
      <c r="AG24" s="3">
        <v>1.1752899999999999</v>
      </c>
      <c r="AH24" s="3">
        <v>1.22428</v>
      </c>
      <c r="AI24" s="3">
        <v>1.2905899999999999</v>
      </c>
      <c r="AJ24" s="3">
        <v>1.3587499999999999</v>
      </c>
      <c r="AK24" s="3">
        <v>1.3764799999999999</v>
      </c>
      <c r="AL24" s="3">
        <v>1.36026</v>
      </c>
      <c r="AM24" s="1" t="str">
        <f>_xll.MSDP(A24,"Exchange_Country")</f>
        <v>United States</v>
      </c>
    </row>
    <row r="25" spans="1:39" x14ac:dyDescent="0.25">
      <c r="A25" s="2" t="s">
        <v>23</v>
      </c>
      <c r="B25" s="2" t="s">
        <v>101</v>
      </c>
      <c r="C25" s="1"/>
      <c r="D25" s="3">
        <v>0.73858000000000001</v>
      </c>
      <c r="E25" s="3">
        <v>1.0349299999999999</v>
      </c>
      <c r="F25" s="3">
        <v>0.69999</v>
      </c>
      <c r="G25" s="1"/>
      <c r="H25" s="1"/>
      <c r="I25" s="1"/>
      <c r="J25" s="3">
        <v>0.74133000000000004</v>
      </c>
      <c r="K25" s="3">
        <v>0.78971000000000002</v>
      </c>
      <c r="L25" s="3">
        <v>0.81025000000000003</v>
      </c>
      <c r="M25" s="3">
        <v>0.75622</v>
      </c>
      <c r="N25" s="3">
        <v>0.73658999999999997</v>
      </c>
      <c r="O25" s="3">
        <v>0.65803999999999996</v>
      </c>
      <c r="P25" s="3">
        <v>0.63861999999999997</v>
      </c>
      <c r="Q25" s="3">
        <v>0.69850000000000001</v>
      </c>
      <c r="R25" s="3">
        <v>0.75649</v>
      </c>
      <c r="S25" s="3">
        <v>0.76270000000000004</v>
      </c>
      <c r="T25" s="3">
        <v>0.73531000000000002</v>
      </c>
      <c r="U25" s="3">
        <v>0.74746999999999997</v>
      </c>
      <c r="V25" s="3">
        <v>0.88636999999999999</v>
      </c>
      <c r="W25" s="3">
        <v>1.0124500000000001</v>
      </c>
      <c r="X25" s="3">
        <v>1.0226900000000001</v>
      </c>
      <c r="Y25" s="3">
        <v>0.89041000000000003</v>
      </c>
      <c r="Z25" s="3">
        <v>0.76180000000000003</v>
      </c>
      <c r="AA25" s="3">
        <v>0.59387999999999996</v>
      </c>
      <c r="AB25" s="3">
        <v>0.86026999999999998</v>
      </c>
      <c r="AC25" s="3">
        <v>0.94672999999999996</v>
      </c>
      <c r="AD25" s="3">
        <v>1.0053700000000001</v>
      </c>
      <c r="AE25" s="3">
        <v>0.93960999999999995</v>
      </c>
      <c r="AF25" s="3">
        <v>1.28382</v>
      </c>
      <c r="AG25" s="3">
        <v>1.0961000000000001</v>
      </c>
      <c r="AH25" s="3">
        <v>1.01816</v>
      </c>
      <c r="AI25" s="3">
        <v>1.0865199999999999</v>
      </c>
      <c r="AJ25" s="3">
        <v>1.3612200000000001</v>
      </c>
      <c r="AK25" s="3">
        <v>1.4401299999999999</v>
      </c>
      <c r="AL25" s="3">
        <v>1.2437100000000001</v>
      </c>
      <c r="AM25" s="1" t="str">
        <f>_xll.MSDP(A25,"Exchange_Country")</f>
        <v>United States</v>
      </c>
    </row>
    <row r="26" spans="1:39" x14ac:dyDescent="0.25">
      <c r="A26" s="2" t="s">
        <v>24</v>
      </c>
      <c r="B26" s="2" t="s">
        <v>102</v>
      </c>
      <c r="C26" s="1"/>
      <c r="D26" s="1"/>
      <c r="E26" s="3">
        <v>0.76190999999999998</v>
      </c>
      <c r="F26" s="3">
        <v>0.61931000000000003</v>
      </c>
      <c r="G26" s="3">
        <v>0.77195999999999998</v>
      </c>
      <c r="H26" s="3">
        <v>0.75697000000000003</v>
      </c>
      <c r="I26" s="3">
        <v>0.68235000000000001</v>
      </c>
      <c r="J26" s="3">
        <v>0.56669999999999998</v>
      </c>
      <c r="K26" s="3">
        <v>0.58340999999999998</v>
      </c>
      <c r="L26" s="3">
        <v>0.52180000000000004</v>
      </c>
      <c r="M26" s="3">
        <v>0.49304999999999999</v>
      </c>
      <c r="N26" s="3">
        <v>0.51251000000000002</v>
      </c>
      <c r="O26" s="3">
        <v>0.56998000000000004</v>
      </c>
      <c r="P26" s="3">
        <v>0.69679999999999997</v>
      </c>
      <c r="Q26" s="3">
        <v>0.67898000000000003</v>
      </c>
      <c r="R26" s="3">
        <v>0.77837999999999996</v>
      </c>
      <c r="S26" s="3">
        <v>0.76849000000000001</v>
      </c>
      <c r="T26" s="3">
        <v>0.80356000000000005</v>
      </c>
      <c r="U26" s="3">
        <v>0.78075000000000006</v>
      </c>
      <c r="V26" s="3">
        <v>0.85016000000000003</v>
      </c>
      <c r="W26" s="3">
        <v>0.84809999999999997</v>
      </c>
      <c r="X26" s="3">
        <v>1.2073400000000001</v>
      </c>
      <c r="Y26" s="3">
        <v>1.5460700000000001</v>
      </c>
      <c r="Z26" s="3">
        <v>1.70438</v>
      </c>
      <c r="AA26" s="3">
        <v>1.6705099999999999</v>
      </c>
      <c r="AB26" s="3">
        <v>1.4977100000000001</v>
      </c>
      <c r="AC26" s="3">
        <v>1.07542</v>
      </c>
      <c r="AD26" s="3">
        <v>0.94601999999999997</v>
      </c>
      <c r="AE26" s="3">
        <v>0.85894999999999999</v>
      </c>
      <c r="AF26" s="3">
        <v>0.86833000000000005</v>
      </c>
      <c r="AG26" s="3">
        <v>1.08186</v>
      </c>
      <c r="AH26" s="3">
        <v>0.99392999999999998</v>
      </c>
      <c r="AI26" s="3">
        <v>0.94220999999999999</v>
      </c>
      <c r="AJ26" s="3">
        <v>1.1945399999999999</v>
      </c>
      <c r="AK26" s="3">
        <v>1.11124</v>
      </c>
      <c r="AL26" s="3">
        <v>1.15947</v>
      </c>
      <c r="AM26" s="1" t="str">
        <f>_xll.MSDP(A26,"Exchange_Country")</f>
        <v>United States</v>
      </c>
    </row>
    <row r="27" spans="1:39" x14ac:dyDescent="0.25">
      <c r="A27" s="2" t="s">
        <v>25</v>
      </c>
      <c r="B27" s="2" t="s">
        <v>103</v>
      </c>
      <c r="C27" s="3">
        <v>0.99785999999999997</v>
      </c>
      <c r="D27" s="1"/>
      <c r="E27" s="3">
        <v>1.0091300000000001</v>
      </c>
      <c r="F27" s="3">
        <v>1.4040299999999999</v>
      </c>
      <c r="G27" s="3">
        <v>1.1320399999999999</v>
      </c>
      <c r="H27" s="3">
        <v>1.1116200000000001</v>
      </c>
      <c r="I27" s="3">
        <v>1.0505500000000001</v>
      </c>
      <c r="J27" s="3">
        <v>1.0669</v>
      </c>
      <c r="K27" s="3">
        <v>1.0585100000000001</v>
      </c>
      <c r="L27" s="3">
        <v>1.02803</v>
      </c>
      <c r="M27" s="3">
        <v>1.2290700000000001</v>
      </c>
      <c r="N27" s="3">
        <v>1.2427900000000001</v>
      </c>
      <c r="O27" s="3">
        <v>1.1891700000000001</v>
      </c>
      <c r="P27" s="3">
        <v>1.2272799999999999</v>
      </c>
      <c r="Q27" s="3">
        <v>1.19</v>
      </c>
      <c r="R27" s="3">
        <v>1.0421</v>
      </c>
      <c r="S27" s="3">
        <v>1.0614699999999999</v>
      </c>
      <c r="T27" s="3">
        <v>0.96274000000000004</v>
      </c>
      <c r="U27" s="3">
        <v>1.01033</v>
      </c>
      <c r="V27" s="3">
        <v>0.92828999999999995</v>
      </c>
      <c r="W27" s="3">
        <v>0.84914999999999996</v>
      </c>
      <c r="X27" s="3">
        <v>0.99468000000000001</v>
      </c>
      <c r="Y27" s="3">
        <v>1.1115200000000001</v>
      </c>
      <c r="Z27" s="3">
        <v>1.0441</v>
      </c>
      <c r="AA27" s="3">
        <v>1.16048</v>
      </c>
      <c r="AB27" s="3">
        <v>1.2981100000000001</v>
      </c>
      <c r="AC27" s="3">
        <v>1.456</v>
      </c>
      <c r="AD27" s="3">
        <v>1.6847099999999999</v>
      </c>
      <c r="AE27" s="3">
        <v>1.71587</v>
      </c>
      <c r="AF27" s="3">
        <v>1.5559400000000001</v>
      </c>
      <c r="AG27" s="3">
        <v>1.5855300000000001</v>
      </c>
      <c r="AH27" s="3">
        <v>1.6994</v>
      </c>
      <c r="AI27" s="3">
        <v>1.50587</v>
      </c>
      <c r="AJ27" s="3">
        <v>1.20496</v>
      </c>
      <c r="AK27" s="3">
        <v>1.28274</v>
      </c>
      <c r="AL27" s="3">
        <v>1.1317299999999999</v>
      </c>
      <c r="AM27" s="1" t="str">
        <f>_xll.MSDP(A27,"Exchange_Country")</f>
        <v>United States</v>
      </c>
    </row>
    <row r="28" spans="1:39" x14ac:dyDescent="0.25">
      <c r="A28" s="2" t="s">
        <v>26</v>
      </c>
      <c r="B28" s="2" t="s">
        <v>104</v>
      </c>
      <c r="C28" s="3">
        <v>4.3242900000000004</v>
      </c>
      <c r="D28" s="3">
        <v>3.7498100000000001</v>
      </c>
      <c r="E28" s="3">
        <v>2.8749600000000002</v>
      </c>
      <c r="F28" s="3">
        <v>1.8041799999999999</v>
      </c>
      <c r="G28" s="3">
        <v>1.93068</v>
      </c>
      <c r="H28" s="3">
        <v>1.8492599999999999</v>
      </c>
      <c r="I28" s="3">
        <v>1.8569199999999999</v>
      </c>
      <c r="J28" s="3">
        <v>1.8737600000000001</v>
      </c>
      <c r="K28" s="3">
        <v>1.7308600000000001</v>
      </c>
      <c r="L28" s="3">
        <v>1.89055</v>
      </c>
      <c r="M28" s="3">
        <v>1.75176</v>
      </c>
      <c r="N28" s="3">
        <v>1.71651</v>
      </c>
      <c r="O28" s="3">
        <v>1.63917</v>
      </c>
      <c r="P28" s="3">
        <v>1.57864</v>
      </c>
      <c r="Q28" s="3">
        <v>1.5804</v>
      </c>
      <c r="R28" s="3">
        <v>1.4901599999999999</v>
      </c>
      <c r="S28" s="3">
        <v>1.4496899999999999</v>
      </c>
      <c r="T28" s="3">
        <v>1.2841499999999999</v>
      </c>
      <c r="U28" s="3">
        <v>1.30297</v>
      </c>
      <c r="V28" s="3">
        <v>1.23472</v>
      </c>
      <c r="W28" s="3">
        <v>0.79588999999999999</v>
      </c>
      <c r="X28" s="3">
        <v>0.76490999999999998</v>
      </c>
      <c r="Y28" s="3">
        <v>0.79157999999999995</v>
      </c>
      <c r="Z28" s="3">
        <v>0.76800999999999997</v>
      </c>
      <c r="AA28" s="3">
        <v>0.70132000000000005</v>
      </c>
      <c r="AB28" s="3">
        <v>0.67081999999999997</v>
      </c>
      <c r="AC28" s="1"/>
      <c r="AD28" s="1"/>
      <c r="AE28" s="1"/>
      <c r="AF28" s="1"/>
      <c r="AG28" s="1"/>
      <c r="AH28" s="1"/>
      <c r="AI28" s="1"/>
      <c r="AJ28" s="1"/>
      <c r="AK28" s="3">
        <v>0.93447000000000002</v>
      </c>
      <c r="AL28" s="3">
        <v>1.0963000000000001</v>
      </c>
      <c r="AM28" s="1" t="str">
        <f>_xll.MSDP(A28,"Exchange_Country")</f>
        <v>United States</v>
      </c>
    </row>
    <row r="29" spans="1:39" x14ac:dyDescent="0.25">
      <c r="A29" s="2" t="s">
        <v>27</v>
      </c>
      <c r="B29" s="2" t="s">
        <v>105</v>
      </c>
      <c r="C29" s="3">
        <v>1.6315500000000001</v>
      </c>
      <c r="D29" s="3">
        <v>1.1206100000000001</v>
      </c>
      <c r="E29" s="3">
        <v>2.46807</v>
      </c>
      <c r="F29" s="3">
        <v>1.6177600000000001</v>
      </c>
      <c r="G29" s="3">
        <v>1.1854</v>
      </c>
      <c r="H29" s="3">
        <v>1.1103499999999999</v>
      </c>
      <c r="I29" s="3">
        <v>1.1346400000000001</v>
      </c>
      <c r="J29" s="3">
        <v>1.2660199999999999</v>
      </c>
      <c r="K29" s="3">
        <v>1.37998</v>
      </c>
      <c r="L29" s="3">
        <v>1.37378</v>
      </c>
      <c r="M29" s="3">
        <v>1.32704</v>
      </c>
      <c r="N29" s="3">
        <v>1.39432</v>
      </c>
      <c r="O29" s="3">
        <v>1.3268800000000001</v>
      </c>
      <c r="P29" s="3">
        <v>1.44807</v>
      </c>
      <c r="Q29" s="3">
        <v>1.32297</v>
      </c>
      <c r="R29" s="3">
        <v>1.2569300000000001</v>
      </c>
      <c r="S29" s="3">
        <v>1.22559</v>
      </c>
      <c r="T29" s="3">
        <v>1.05125</v>
      </c>
      <c r="U29" s="3">
        <v>1.0775300000000001</v>
      </c>
      <c r="V29" s="3">
        <v>1.16316</v>
      </c>
      <c r="W29" s="3">
        <v>1.0529299999999999</v>
      </c>
      <c r="X29" s="3">
        <v>1.11104</v>
      </c>
      <c r="Y29" s="3">
        <v>1.13324</v>
      </c>
      <c r="Z29" s="3">
        <v>1.16384</v>
      </c>
      <c r="AA29" s="3">
        <v>1.1196900000000001</v>
      </c>
      <c r="AB29" s="3">
        <v>1.26048</v>
      </c>
      <c r="AC29" s="3">
        <v>1.3941600000000001</v>
      </c>
      <c r="AD29" s="3">
        <v>1.5481199999999999</v>
      </c>
      <c r="AE29" s="3">
        <v>1.3963399999999999</v>
      </c>
      <c r="AF29" s="3">
        <v>1.27626</v>
      </c>
      <c r="AG29" s="3">
        <v>1.2631699999999999</v>
      </c>
      <c r="AH29" s="3">
        <v>1.1539699999999999</v>
      </c>
      <c r="AI29" s="3">
        <v>1.1552500000000001</v>
      </c>
      <c r="AJ29" s="3">
        <v>1.15554</v>
      </c>
      <c r="AK29" s="3">
        <v>1.1275299999999999</v>
      </c>
      <c r="AL29" s="3">
        <v>1.0929599999999999</v>
      </c>
      <c r="AM29" s="1" t="str">
        <f>_xll.MSDP(A29,"Exchange_Country")</f>
        <v>United States</v>
      </c>
    </row>
    <row r="30" spans="1:39" x14ac:dyDescent="0.25">
      <c r="A30" s="2" t="s">
        <v>28</v>
      </c>
      <c r="B30" s="2" t="s">
        <v>106</v>
      </c>
      <c r="C30" s="3">
        <v>1.2469699999999999</v>
      </c>
      <c r="D30" s="3">
        <v>0.94865999999999995</v>
      </c>
      <c r="E30" s="3">
        <v>1.14174</v>
      </c>
      <c r="F30" s="3">
        <v>1.0521</v>
      </c>
      <c r="G30" s="3">
        <v>1.3001400000000001</v>
      </c>
      <c r="H30" s="3">
        <v>1.3184400000000001</v>
      </c>
      <c r="I30" s="3">
        <v>1.3757600000000001</v>
      </c>
      <c r="J30" s="3">
        <v>1.42072</v>
      </c>
      <c r="K30" s="3">
        <v>1.34876</v>
      </c>
      <c r="L30" s="3">
        <v>1.5161800000000001</v>
      </c>
      <c r="M30" s="3">
        <v>1.4782</v>
      </c>
      <c r="N30" s="3">
        <v>1.3103</v>
      </c>
      <c r="O30" s="3">
        <v>1.2972900000000001</v>
      </c>
      <c r="P30" s="3">
        <v>1.3830899999999999</v>
      </c>
      <c r="Q30" s="3">
        <v>1.4292199999999999</v>
      </c>
      <c r="R30" s="3">
        <v>1.2663500000000001</v>
      </c>
      <c r="S30" s="3">
        <v>1.26231</v>
      </c>
      <c r="T30" s="3">
        <v>1.3072699999999999</v>
      </c>
      <c r="U30" s="3">
        <v>1.2865500000000001</v>
      </c>
      <c r="V30" s="3">
        <v>1.1601399999999999</v>
      </c>
      <c r="W30" s="3">
        <v>1.00952</v>
      </c>
      <c r="X30" s="3">
        <v>0.99338000000000004</v>
      </c>
      <c r="Y30" s="3">
        <v>0.88019999999999998</v>
      </c>
      <c r="Z30" s="3">
        <v>0.76685000000000003</v>
      </c>
      <c r="AA30" s="3">
        <v>0.76766000000000001</v>
      </c>
      <c r="AB30" s="3">
        <v>0.95072999999999996</v>
      </c>
      <c r="AC30" s="3">
        <v>0.95323999999999998</v>
      </c>
      <c r="AD30" s="3">
        <v>0.88212000000000002</v>
      </c>
      <c r="AE30" s="3">
        <v>0.90259999999999996</v>
      </c>
      <c r="AF30" s="3">
        <v>1.0753699999999999</v>
      </c>
      <c r="AG30" s="3">
        <v>0.99336000000000002</v>
      </c>
      <c r="AH30" s="3">
        <v>1.01414</v>
      </c>
      <c r="AI30" s="3">
        <v>1.09297</v>
      </c>
      <c r="AJ30" s="3">
        <v>0.96523999999999999</v>
      </c>
      <c r="AK30" s="3">
        <v>0.99844999999999995</v>
      </c>
      <c r="AL30" s="3">
        <v>1.07152</v>
      </c>
      <c r="AM30" s="1" t="str">
        <f>_xll.MSDP(A30,"Exchange_Country")</f>
        <v>United States</v>
      </c>
    </row>
    <row r="31" spans="1:39" x14ac:dyDescent="0.25">
      <c r="A31" s="2" t="s">
        <v>29</v>
      </c>
      <c r="B31" s="2" t="s">
        <v>107</v>
      </c>
      <c r="C31" s="3">
        <v>1.5082500000000001</v>
      </c>
      <c r="D31" s="3">
        <v>0.93347999999999998</v>
      </c>
      <c r="E31" s="3">
        <v>1.48746</v>
      </c>
      <c r="F31" s="3">
        <v>1.17117</v>
      </c>
      <c r="G31" s="3">
        <v>1.19899</v>
      </c>
      <c r="H31" s="3">
        <v>1.1751400000000001</v>
      </c>
      <c r="I31" s="3">
        <v>1.2275100000000001</v>
      </c>
      <c r="J31" s="3">
        <v>1.46072</v>
      </c>
      <c r="K31" s="3">
        <v>1.3070999999999999</v>
      </c>
      <c r="L31" s="3">
        <v>1.20401</v>
      </c>
      <c r="M31" s="3">
        <v>1.1008599999999999</v>
      </c>
      <c r="N31" s="3">
        <v>1.03129</v>
      </c>
      <c r="O31" s="3">
        <v>1.11625</v>
      </c>
      <c r="P31" s="3">
        <v>1.27325</v>
      </c>
      <c r="Q31" s="3">
        <v>1.3749400000000001</v>
      </c>
      <c r="R31" s="3">
        <v>1.25075</v>
      </c>
      <c r="S31" s="3">
        <v>1.399</v>
      </c>
      <c r="T31" s="3">
        <v>1.29078</v>
      </c>
      <c r="U31" s="3">
        <v>1.1351199999999999</v>
      </c>
      <c r="V31" s="3">
        <v>1.13887</v>
      </c>
      <c r="W31" s="3">
        <v>1.2877799999999999</v>
      </c>
      <c r="X31" s="3">
        <v>1.1565799999999999</v>
      </c>
      <c r="Y31" s="3">
        <v>1.25362</v>
      </c>
      <c r="Z31" s="3">
        <v>1.1829499999999999</v>
      </c>
      <c r="AA31" s="3">
        <v>1.0805199999999999</v>
      </c>
      <c r="AB31" s="3">
        <v>0.98102</v>
      </c>
      <c r="AC31" s="3">
        <v>1.09419</v>
      </c>
      <c r="AD31" s="3">
        <v>0.91393000000000002</v>
      </c>
      <c r="AE31" s="3">
        <v>0.85753999999999997</v>
      </c>
      <c r="AF31" s="3">
        <v>0.99128000000000005</v>
      </c>
      <c r="AG31" s="3">
        <v>0.96589000000000003</v>
      </c>
      <c r="AH31" s="3">
        <v>1.0301100000000001</v>
      </c>
      <c r="AI31" s="3">
        <v>1.1129199999999999</v>
      </c>
      <c r="AJ31" s="3">
        <v>1.05755</v>
      </c>
      <c r="AK31" s="3">
        <v>1.00553</v>
      </c>
      <c r="AL31" s="3">
        <v>1.0541199999999999</v>
      </c>
      <c r="AM31" s="1" t="str">
        <f>_xll.MSDP(A31,"Exchange_Country")</f>
        <v>United States</v>
      </c>
    </row>
    <row r="32" spans="1:39" x14ac:dyDescent="0.25">
      <c r="A32" s="2" t="s">
        <v>30</v>
      </c>
      <c r="B32" s="2" t="s">
        <v>108</v>
      </c>
      <c r="C32" s="3">
        <v>0.82391000000000003</v>
      </c>
      <c r="D32" s="3">
        <v>0.79549000000000003</v>
      </c>
      <c r="E32" s="3">
        <v>0.76783000000000001</v>
      </c>
      <c r="F32" s="3">
        <v>1.0288600000000001</v>
      </c>
      <c r="G32" s="3">
        <v>0.99299000000000004</v>
      </c>
      <c r="H32" s="3">
        <v>1.0172399999999999</v>
      </c>
      <c r="I32" s="3">
        <v>1.08165</v>
      </c>
      <c r="J32" s="3">
        <v>1.11537</v>
      </c>
      <c r="K32" s="3">
        <v>1.04464</v>
      </c>
      <c r="L32" s="3">
        <v>1.0630599999999999</v>
      </c>
      <c r="M32" s="3">
        <v>1.0989100000000001</v>
      </c>
      <c r="N32" s="3">
        <v>1.09796</v>
      </c>
      <c r="O32" s="3">
        <v>1.0361499999999999</v>
      </c>
      <c r="P32" s="3">
        <v>1.03644</v>
      </c>
      <c r="Q32" s="3">
        <v>0.98138999999999998</v>
      </c>
      <c r="R32" s="3">
        <v>1.0085999999999999</v>
      </c>
      <c r="S32" s="3">
        <v>1.0117</v>
      </c>
      <c r="T32" s="3">
        <v>0.89337999999999995</v>
      </c>
      <c r="U32" s="3">
        <v>0.83499000000000001</v>
      </c>
      <c r="V32" s="3">
        <v>0.78076999999999996</v>
      </c>
      <c r="W32" s="3">
        <v>0.65456000000000003</v>
      </c>
      <c r="X32" s="3">
        <v>0.78210000000000002</v>
      </c>
      <c r="Y32" s="3">
        <v>0.86546999999999996</v>
      </c>
      <c r="Z32" s="3">
        <v>0.90666000000000002</v>
      </c>
      <c r="AA32" s="3">
        <v>0.95169999999999999</v>
      </c>
      <c r="AB32" s="3">
        <v>1.06551</v>
      </c>
      <c r="AC32" s="3">
        <v>1.0725199999999999</v>
      </c>
      <c r="AD32" s="3">
        <v>0.97797999999999996</v>
      </c>
      <c r="AE32" s="3">
        <v>1.1403099999999999</v>
      </c>
      <c r="AF32" s="3">
        <v>1.13541</v>
      </c>
      <c r="AG32" s="3">
        <v>1.1212</v>
      </c>
      <c r="AH32" s="3">
        <v>0.96372000000000002</v>
      </c>
      <c r="AI32" s="3">
        <v>0.94189000000000001</v>
      </c>
      <c r="AJ32" s="3">
        <v>0.93722000000000005</v>
      </c>
      <c r="AK32" s="3">
        <v>0.94327000000000005</v>
      </c>
      <c r="AL32" s="3">
        <v>1.0287599999999999</v>
      </c>
      <c r="AM32" s="1" t="str">
        <f>_xll.MSDP(A32,"Exchange_Country")</f>
        <v>United States</v>
      </c>
    </row>
    <row r="33" spans="1:39" x14ac:dyDescent="0.25">
      <c r="A33" s="2" t="s">
        <v>31</v>
      </c>
      <c r="B33" s="2" t="s">
        <v>109</v>
      </c>
      <c r="C33" s="3">
        <v>0.71340999999999999</v>
      </c>
      <c r="D33" s="3">
        <v>1.2109399999999999</v>
      </c>
      <c r="E33" s="3">
        <v>1.13079</v>
      </c>
      <c r="F33" s="3">
        <v>1.2266699999999999</v>
      </c>
      <c r="G33" s="3">
        <v>0.91208999999999996</v>
      </c>
      <c r="H33" s="3">
        <v>0.96643999999999997</v>
      </c>
      <c r="I33" s="3">
        <v>1.1007499999999999</v>
      </c>
      <c r="J33" s="3">
        <v>1.1351199999999999</v>
      </c>
      <c r="K33" s="3">
        <v>1.2438899999999999</v>
      </c>
      <c r="L33" s="3">
        <v>1.2689699999999999</v>
      </c>
      <c r="M33" s="3">
        <v>1.24451</v>
      </c>
      <c r="N33" s="3">
        <v>1.2936799999999999</v>
      </c>
      <c r="O33" s="3">
        <v>1.2587900000000001</v>
      </c>
      <c r="P33" s="3">
        <v>1.37235</v>
      </c>
      <c r="Q33" s="3">
        <v>1.3115399999999999</v>
      </c>
      <c r="R33" s="3">
        <v>1.1941900000000001</v>
      </c>
      <c r="S33" s="3">
        <v>1.3677900000000001</v>
      </c>
      <c r="T33" s="3">
        <v>1.35443</v>
      </c>
      <c r="U33" s="3">
        <v>1.3915900000000001</v>
      </c>
      <c r="V33" s="3">
        <v>1.2699</v>
      </c>
      <c r="W33" s="3">
        <v>1.33887</v>
      </c>
      <c r="X33" s="3">
        <v>1.5783</v>
      </c>
      <c r="Y33" s="3">
        <v>1.3475699999999999</v>
      </c>
      <c r="Z33" s="3">
        <v>1.47211</v>
      </c>
      <c r="AA33" s="3">
        <v>1.3859999999999999</v>
      </c>
      <c r="AB33" s="3">
        <v>1.4112199999999999</v>
      </c>
      <c r="AC33" s="3">
        <v>1.3714</v>
      </c>
      <c r="AD33" s="3">
        <v>1.3181700000000001</v>
      </c>
      <c r="AE33" s="3">
        <v>1.0697099999999999</v>
      </c>
      <c r="AF33" s="3">
        <v>0.87538000000000005</v>
      </c>
      <c r="AG33" s="3">
        <v>0.73868</v>
      </c>
      <c r="AH33" s="3">
        <v>0.86277000000000004</v>
      </c>
      <c r="AI33" s="3">
        <v>0.97331000000000001</v>
      </c>
      <c r="AJ33" s="3">
        <v>1.0356700000000001</v>
      </c>
      <c r="AK33" s="3">
        <v>0.94077</v>
      </c>
      <c r="AL33" s="3">
        <v>0.97440000000000004</v>
      </c>
      <c r="AM33" s="1" t="str">
        <f>_xll.MSDP(A33,"Exchange_Country")</f>
        <v>United States</v>
      </c>
    </row>
    <row r="34" spans="1:39" x14ac:dyDescent="0.25">
      <c r="A34" s="2" t="s">
        <v>32</v>
      </c>
      <c r="B34" s="2" t="s">
        <v>110</v>
      </c>
      <c r="C34" s="3">
        <v>1.87307</v>
      </c>
      <c r="D34" s="3">
        <v>2.30722</v>
      </c>
      <c r="E34" s="3">
        <v>1.56488</v>
      </c>
      <c r="F34" s="3">
        <v>0.86407</v>
      </c>
      <c r="G34" s="3">
        <v>1.17493</v>
      </c>
      <c r="H34" s="3">
        <v>1.04477</v>
      </c>
      <c r="I34" s="3">
        <v>0.99016000000000004</v>
      </c>
      <c r="J34" s="3">
        <v>0.88790000000000002</v>
      </c>
      <c r="K34" s="3">
        <v>0.78322999999999998</v>
      </c>
      <c r="L34" s="3">
        <v>0.83579000000000003</v>
      </c>
      <c r="M34" s="3">
        <v>1.10242</v>
      </c>
      <c r="N34" s="3">
        <v>1.0563499999999999</v>
      </c>
      <c r="O34" s="3">
        <v>1.1327199999999999</v>
      </c>
      <c r="P34" s="3">
        <v>1.22844</v>
      </c>
      <c r="Q34" s="3">
        <v>1.1594199999999999</v>
      </c>
      <c r="R34" s="3">
        <v>1.03477</v>
      </c>
      <c r="S34" s="3">
        <v>0.95337000000000005</v>
      </c>
      <c r="T34" s="3">
        <v>0.94089</v>
      </c>
      <c r="U34" s="3">
        <v>0.85750000000000004</v>
      </c>
      <c r="V34" s="3">
        <v>0.89131000000000005</v>
      </c>
      <c r="W34" s="3">
        <v>0.78388999999999998</v>
      </c>
      <c r="X34" s="3">
        <v>0.76700000000000002</v>
      </c>
      <c r="Y34" s="3">
        <v>0.76817999999999997</v>
      </c>
      <c r="Z34" s="3">
        <v>0.71177000000000001</v>
      </c>
      <c r="AA34" s="3">
        <v>0.75566</v>
      </c>
      <c r="AB34" s="3">
        <v>0.62356</v>
      </c>
      <c r="AC34" s="3">
        <v>0.81108999999999998</v>
      </c>
      <c r="AD34" s="3">
        <v>0.77344000000000002</v>
      </c>
      <c r="AE34" s="3">
        <v>1.02477</v>
      </c>
      <c r="AF34" s="3">
        <v>1.1254500000000001</v>
      </c>
      <c r="AG34" s="3">
        <v>1.2590300000000001</v>
      </c>
      <c r="AH34" s="3">
        <v>1.28068</v>
      </c>
      <c r="AI34" s="3">
        <v>1.2742800000000001</v>
      </c>
      <c r="AJ34" s="3">
        <v>1.17093</v>
      </c>
      <c r="AK34" s="3">
        <v>1.06667</v>
      </c>
      <c r="AL34" s="3">
        <v>0.97246999999999995</v>
      </c>
      <c r="AM34" s="1" t="str">
        <f>_xll.MSDP(A34,"Exchange_Country")</f>
        <v>United States</v>
      </c>
    </row>
    <row r="35" spans="1:39" x14ac:dyDescent="0.25">
      <c r="A35" s="2" t="s">
        <v>33</v>
      </c>
      <c r="B35" s="2" t="s">
        <v>111</v>
      </c>
      <c r="C35" s="3">
        <v>2.37737</v>
      </c>
      <c r="D35" s="3">
        <v>3.1047600000000002</v>
      </c>
      <c r="E35" s="3">
        <v>2.4470299999999998</v>
      </c>
      <c r="F35" s="3">
        <v>2.9830199999999998</v>
      </c>
      <c r="G35" s="3">
        <v>3.3043999999999998</v>
      </c>
      <c r="H35" s="3">
        <v>3.20865</v>
      </c>
      <c r="I35" s="3">
        <v>3.2534999999999998</v>
      </c>
      <c r="J35" s="3">
        <v>3.4910299999999999</v>
      </c>
      <c r="K35" s="3">
        <v>3.3498700000000001</v>
      </c>
      <c r="L35" s="3">
        <v>3.3152200000000001</v>
      </c>
      <c r="M35" s="3">
        <v>3.2393800000000001</v>
      </c>
      <c r="N35" s="3">
        <v>3.2635100000000001</v>
      </c>
      <c r="O35" s="3">
        <v>3.2199399999999998</v>
      </c>
      <c r="P35" s="3">
        <v>3.1015299999999999</v>
      </c>
      <c r="Q35" s="3">
        <v>2.9873099999999999</v>
      </c>
      <c r="R35" s="3">
        <v>3.3091499999999998</v>
      </c>
      <c r="S35" s="3">
        <v>3.19231</v>
      </c>
      <c r="T35" s="3">
        <v>2.62412</v>
      </c>
      <c r="U35" s="3">
        <v>2.6020799999999999</v>
      </c>
      <c r="V35" s="3">
        <v>2.2649599999999999</v>
      </c>
      <c r="W35" s="3">
        <v>2.0441600000000002</v>
      </c>
      <c r="X35" s="3">
        <v>2.1255899999999999</v>
      </c>
      <c r="Y35" s="3">
        <v>1.99712</v>
      </c>
      <c r="Z35" s="3">
        <v>2.0468899999999999</v>
      </c>
      <c r="AA35" s="3">
        <v>1.9291100000000001</v>
      </c>
      <c r="AB35" s="3">
        <v>1.7962899999999999</v>
      </c>
      <c r="AC35" s="3">
        <v>1.80857</v>
      </c>
      <c r="AD35" s="3">
        <v>1.09188</v>
      </c>
      <c r="AE35" s="3">
        <v>1.07596</v>
      </c>
      <c r="AF35" s="3">
        <v>1.2863899999999999</v>
      </c>
      <c r="AG35" s="3">
        <v>1.1588499999999999</v>
      </c>
      <c r="AH35" s="3">
        <v>0.84204000000000001</v>
      </c>
      <c r="AI35" s="3">
        <v>0.87212999999999996</v>
      </c>
      <c r="AJ35" s="3">
        <v>1.08684</v>
      </c>
      <c r="AK35" s="3">
        <v>1.06145</v>
      </c>
      <c r="AL35" s="3">
        <v>0.97208000000000006</v>
      </c>
      <c r="AM35" s="1" t="str">
        <f>_xll.MSDP(A35,"Exchange_Country")</f>
        <v>United States</v>
      </c>
    </row>
    <row r="36" spans="1:39" x14ac:dyDescent="0.25">
      <c r="A36" s="2" t="s">
        <v>34</v>
      </c>
      <c r="B36" s="2" t="s">
        <v>112</v>
      </c>
      <c r="C36" s="1"/>
      <c r="D36" s="1"/>
      <c r="E36" s="1"/>
      <c r="F36" s="1"/>
      <c r="G36" s="3">
        <v>0.76536000000000004</v>
      </c>
      <c r="H36" s="3">
        <v>0.78061000000000003</v>
      </c>
      <c r="I36" s="3">
        <v>0.72358</v>
      </c>
      <c r="J36" s="3">
        <v>0.67471999999999999</v>
      </c>
      <c r="K36" s="3">
        <v>0.69059000000000004</v>
      </c>
      <c r="L36" s="3">
        <v>0.68847999999999998</v>
      </c>
      <c r="M36" s="3">
        <v>0.65734000000000004</v>
      </c>
      <c r="N36" s="3">
        <v>0.66883999999999999</v>
      </c>
      <c r="O36" s="3">
        <v>0.69725999999999999</v>
      </c>
      <c r="P36" s="3">
        <v>0.73667000000000005</v>
      </c>
      <c r="Q36" s="3">
        <v>0.78993999999999998</v>
      </c>
      <c r="R36" s="3">
        <v>0.83043</v>
      </c>
      <c r="S36" s="3">
        <v>0.95469000000000004</v>
      </c>
      <c r="T36" s="3">
        <v>0.87973999999999997</v>
      </c>
      <c r="U36" s="3">
        <v>0.83116999999999996</v>
      </c>
      <c r="V36" s="3">
        <v>0.78054999999999997</v>
      </c>
      <c r="W36" s="3">
        <v>0.81511999999999996</v>
      </c>
      <c r="X36" s="3">
        <v>0.80012000000000005</v>
      </c>
      <c r="Y36" s="3">
        <v>1.1001000000000001</v>
      </c>
      <c r="Z36" s="3">
        <v>1.3728400000000001</v>
      </c>
      <c r="AA36" s="3">
        <v>1.5234399999999999</v>
      </c>
      <c r="AB36" s="3">
        <v>1.3617900000000001</v>
      </c>
      <c r="AC36" s="3">
        <v>0.94711000000000001</v>
      </c>
      <c r="AD36" s="3">
        <v>0.75212000000000001</v>
      </c>
      <c r="AE36" s="3">
        <v>0.82003000000000004</v>
      </c>
      <c r="AF36" s="3">
        <v>0.75465000000000004</v>
      </c>
      <c r="AG36" s="3">
        <v>0.77105000000000001</v>
      </c>
      <c r="AH36" s="3">
        <v>0.66376999999999997</v>
      </c>
      <c r="AI36" s="3">
        <v>0.62009999999999998</v>
      </c>
      <c r="AJ36" s="3">
        <v>0.90466999999999997</v>
      </c>
      <c r="AK36" s="3">
        <v>0.92947999999999997</v>
      </c>
      <c r="AL36" s="3">
        <v>0.94374000000000002</v>
      </c>
      <c r="AM36" s="1" t="str">
        <f>_xll.MSDP(A36,"Exchange_Country")</f>
        <v>United States</v>
      </c>
    </row>
    <row r="37" spans="1:39" x14ac:dyDescent="0.25">
      <c r="A37" s="2" t="s">
        <v>35</v>
      </c>
      <c r="B37" s="2" t="s">
        <v>113</v>
      </c>
      <c r="C37" s="3">
        <v>0.81318999999999997</v>
      </c>
      <c r="D37" s="3">
        <v>0.76585999999999999</v>
      </c>
      <c r="E37" s="3">
        <v>1.4321699999999999</v>
      </c>
      <c r="F37" s="3">
        <v>0.95089000000000001</v>
      </c>
      <c r="G37" s="3">
        <v>0.74029</v>
      </c>
      <c r="H37" s="3">
        <v>0.73441999999999996</v>
      </c>
      <c r="I37" s="3">
        <v>0.74865000000000004</v>
      </c>
      <c r="J37" s="3">
        <v>0.80123999999999995</v>
      </c>
      <c r="K37" s="3">
        <v>0.78627000000000002</v>
      </c>
      <c r="L37" s="3">
        <v>0.90046000000000004</v>
      </c>
      <c r="M37" s="3">
        <v>0.99480000000000002</v>
      </c>
      <c r="N37" s="3">
        <v>0.85348000000000002</v>
      </c>
      <c r="O37" s="3">
        <v>0.82879999999999998</v>
      </c>
      <c r="P37" s="3">
        <v>0.88566999999999996</v>
      </c>
      <c r="Q37" s="3">
        <v>0.82925000000000004</v>
      </c>
      <c r="R37" s="3">
        <v>0.87448000000000004</v>
      </c>
      <c r="S37" s="3">
        <v>0.97741999999999996</v>
      </c>
      <c r="T37" s="3">
        <v>0.89410999999999996</v>
      </c>
      <c r="U37" s="3">
        <v>0.89536000000000004</v>
      </c>
      <c r="V37" s="3">
        <v>1.0253699999999999</v>
      </c>
      <c r="W37" s="3">
        <v>1.03729</v>
      </c>
      <c r="X37" s="3">
        <v>1.0010600000000001</v>
      </c>
      <c r="Y37" s="3">
        <v>0.86453999999999998</v>
      </c>
      <c r="Z37" s="3">
        <v>0.83896999999999999</v>
      </c>
      <c r="AA37" s="3">
        <v>0.73033000000000003</v>
      </c>
      <c r="AB37" s="3">
        <v>0.78600999999999999</v>
      </c>
      <c r="AC37" s="3">
        <v>0.73853999999999997</v>
      </c>
      <c r="AD37" s="3">
        <v>0.87531000000000003</v>
      </c>
      <c r="AE37" s="3">
        <v>1.0127900000000001</v>
      </c>
      <c r="AF37" s="3">
        <v>0.92071000000000003</v>
      </c>
      <c r="AG37" s="3">
        <v>0.92405999999999999</v>
      </c>
      <c r="AH37" s="3">
        <v>0.89922999999999997</v>
      </c>
      <c r="AI37" s="3">
        <v>0.99395</v>
      </c>
      <c r="AJ37" s="3">
        <v>0.87594000000000005</v>
      </c>
      <c r="AK37" s="3">
        <v>0.93484</v>
      </c>
      <c r="AL37" s="3">
        <v>0.88975000000000004</v>
      </c>
      <c r="AM37" s="1" t="str">
        <f>_xll.MSDP(A37,"Exchange_Country")</f>
        <v>United States</v>
      </c>
    </row>
    <row r="38" spans="1:39" x14ac:dyDescent="0.25">
      <c r="A38" s="2" t="s">
        <v>36</v>
      </c>
      <c r="B38" s="2" t="s">
        <v>114</v>
      </c>
      <c r="C38" s="3">
        <v>1.3370899999999999</v>
      </c>
      <c r="D38" s="3">
        <v>1.4040900000000001</v>
      </c>
      <c r="E38" s="3">
        <v>1.07992</v>
      </c>
      <c r="F38" s="3">
        <v>1.7280800000000001</v>
      </c>
      <c r="G38" s="3">
        <v>1.60016</v>
      </c>
      <c r="H38" s="3">
        <v>1.57768</v>
      </c>
      <c r="I38" s="3">
        <v>1.5911200000000001</v>
      </c>
      <c r="J38" s="3">
        <v>1.6005400000000001</v>
      </c>
      <c r="K38" s="3">
        <v>1.5205599999999999</v>
      </c>
      <c r="L38" s="3">
        <v>1.54447</v>
      </c>
      <c r="M38" s="3">
        <v>1.53399</v>
      </c>
      <c r="N38" s="3">
        <v>1.48813</v>
      </c>
      <c r="O38" s="3">
        <v>1.4044000000000001</v>
      </c>
      <c r="P38" s="3">
        <v>1.3361000000000001</v>
      </c>
      <c r="Q38" s="3">
        <v>1.3408899999999999</v>
      </c>
      <c r="R38" s="3">
        <v>1.3112699999999999</v>
      </c>
      <c r="S38" s="3">
        <v>1.3365</v>
      </c>
      <c r="T38" s="3">
        <v>1.3582700000000001</v>
      </c>
      <c r="U38" s="3">
        <v>1.2807299999999999</v>
      </c>
      <c r="V38" s="3">
        <v>1.1463000000000001</v>
      </c>
      <c r="W38" s="3">
        <v>0.97001000000000004</v>
      </c>
      <c r="X38" s="3">
        <v>1.0324</v>
      </c>
      <c r="Y38" s="3">
        <v>0.77624000000000004</v>
      </c>
      <c r="Z38" s="3">
        <v>0.73860999999999999</v>
      </c>
      <c r="AA38" s="3">
        <v>0.72067000000000003</v>
      </c>
      <c r="AB38" s="3">
        <v>0.85626999999999998</v>
      </c>
      <c r="AC38" s="3">
        <v>0.80303999999999998</v>
      </c>
      <c r="AD38" s="3">
        <v>0.88236999999999999</v>
      </c>
      <c r="AE38" s="3">
        <v>0.88849999999999996</v>
      </c>
      <c r="AF38" s="3">
        <v>1.00837</v>
      </c>
      <c r="AG38" s="3">
        <v>0.91251000000000004</v>
      </c>
      <c r="AH38" s="3">
        <v>0.73558000000000001</v>
      </c>
      <c r="AI38" s="3">
        <v>0.78791999999999995</v>
      </c>
      <c r="AJ38" s="3">
        <v>0.75853999999999999</v>
      </c>
      <c r="AK38" s="3">
        <v>0.77549000000000001</v>
      </c>
      <c r="AL38" s="3">
        <v>0.82128999999999996</v>
      </c>
      <c r="AM38" s="1" t="str">
        <f>_xll.MSDP(A38,"Exchange_Country")</f>
        <v>United States</v>
      </c>
    </row>
    <row r="39" spans="1:39" x14ac:dyDescent="0.25">
      <c r="A39" s="2" t="s">
        <v>37</v>
      </c>
      <c r="B39" s="2" t="s">
        <v>115</v>
      </c>
      <c r="C39" s="1"/>
      <c r="D39" s="1"/>
      <c r="E39" s="1"/>
      <c r="F39" s="3">
        <v>0.7278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3">
        <v>0.64825999999999995</v>
      </c>
      <c r="Y39" s="3">
        <v>0.60580999999999996</v>
      </c>
      <c r="Z39" s="3">
        <v>0.59333999999999998</v>
      </c>
      <c r="AA39" s="3">
        <v>0.63251000000000002</v>
      </c>
      <c r="AB39" s="3">
        <v>0.47853000000000001</v>
      </c>
      <c r="AC39" s="3">
        <v>0.57828000000000002</v>
      </c>
      <c r="AD39" s="3">
        <v>0.57732000000000006</v>
      </c>
      <c r="AE39" s="3">
        <v>0.47319</v>
      </c>
      <c r="AF39" s="3">
        <v>0.50522999999999996</v>
      </c>
      <c r="AG39" s="3">
        <v>0.61397999999999997</v>
      </c>
      <c r="AH39" s="3">
        <v>0.56418999999999997</v>
      </c>
      <c r="AI39" s="3">
        <v>0.78517999999999999</v>
      </c>
      <c r="AJ39" s="3">
        <v>0.69501999999999997</v>
      </c>
      <c r="AK39" s="3">
        <v>0.75144</v>
      </c>
      <c r="AL39" s="3">
        <v>0.79193999999999998</v>
      </c>
      <c r="AM39" s="1" t="str">
        <f>_xll.MSDP(A39,"Exchange_Country")</f>
        <v>United States</v>
      </c>
    </row>
    <row r="40" spans="1:39" x14ac:dyDescent="0.25">
      <c r="A40" s="2" t="s">
        <v>38</v>
      </c>
      <c r="B40" s="2" t="s">
        <v>116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">
        <v>0.65466999999999997</v>
      </c>
      <c r="AG40" s="3">
        <v>0.63356999999999997</v>
      </c>
      <c r="AH40" s="3">
        <v>0.62699000000000005</v>
      </c>
      <c r="AI40" s="3">
        <v>0.58301000000000003</v>
      </c>
      <c r="AJ40" s="3">
        <v>0.60431000000000001</v>
      </c>
      <c r="AK40" s="3">
        <v>0.67486000000000002</v>
      </c>
      <c r="AL40" s="3">
        <v>0.69491000000000003</v>
      </c>
      <c r="AM40" s="1" t="str">
        <f>_xll.MSDP(A40,"Exchange_Country")</f>
        <v>United States</v>
      </c>
    </row>
    <row r="41" spans="1:39" x14ac:dyDescent="0.25">
      <c r="A41" s="2" t="s">
        <v>39</v>
      </c>
      <c r="B41" s="2" t="s">
        <v>117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3">
        <v>0.63251999999999997</v>
      </c>
      <c r="T41" s="3">
        <v>0.53571999999999997</v>
      </c>
      <c r="U41" s="3">
        <v>0.53847999999999996</v>
      </c>
      <c r="V41" s="1"/>
      <c r="W41" s="1"/>
      <c r="X41" s="1"/>
      <c r="Y41" s="1"/>
      <c r="Z41" s="1"/>
      <c r="AA41" s="1"/>
      <c r="AB41" s="1"/>
      <c r="AC41" s="3">
        <v>0.63368000000000002</v>
      </c>
      <c r="AD41" s="3">
        <v>0.72826000000000002</v>
      </c>
      <c r="AE41" s="3">
        <v>0.73129999999999995</v>
      </c>
      <c r="AF41" s="3">
        <v>0.63890999999999998</v>
      </c>
      <c r="AG41" s="3">
        <v>0.75370000000000004</v>
      </c>
      <c r="AH41" s="3">
        <v>0.76781999999999995</v>
      </c>
      <c r="AI41" s="3">
        <v>0.70928999999999998</v>
      </c>
      <c r="AJ41" s="3">
        <v>0.64858000000000005</v>
      </c>
      <c r="AK41" s="3">
        <v>0.73748999999999998</v>
      </c>
      <c r="AL41" s="3">
        <v>0.66517999999999999</v>
      </c>
      <c r="AM41" s="1" t="str">
        <f>_xll.MSDP(A41,"Exchange_Country")</f>
        <v>United States</v>
      </c>
    </row>
    <row r="42" spans="1:39" x14ac:dyDescent="0.25">
      <c r="A42" s="2" t="s">
        <v>40</v>
      </c>
      <c r="B42" s="2" t="s">
        <v>118</v>
      </c>
      <c r="C42" s="3">
        <v>3.7937599999999998</v>
      </c>
      <c r="D42" s="3">
        <v>4.6416300000000001</v>
      </c>
      <c r="E42" s="3">
        <v>3.3274900000000001</v>
      </c>
      <c r="F42" s="3">
        <v>1.90106</v>
      </c>
      <c r="G42" s="3">
        <v>1.2518</v>
      </c>
      <c r="H42" s="3">
        <v>1.22207</v>
      </c>
      <c r="I42" s="3">
        <v>1.13636</v>
      </c>
      <c r="J42" s="3">
        <v>1.3612</v>
      </c>
      <c r="K42" s="3">
        <v>1.30247</v>
      </c>
      <c r="L42" s="3">
        <v>1.31124</v>
      </c>
      <c r="M42" s="3">
        <v>1.2585200000000001</v>
      </c>
      <c r="N42" s="3">
        <v>1.0873699999999999</v>
      </c>
      <c r="O42" s="3">
        <v>1.07237</v>
      </c>
      <c r="P42" s="3">
        <v>1.1008599999999999</v>
      </c>
      <c r="Q42" s="3">
        <v>1.13279</v>
      </c>
      <c r="R42" s="3">
        <v>1.1346700000000001</v>
      </c>
      <c r="S42" s="3">
        <v>1.17442</v>
      </c>
      <c r="T42" s="3">
        <v>1.13331</v>
      </c>
      <c r="U42" s="3">
        <v>1.09473</v>
      </c>
      <c r="V42" s="3">
        <v>0.91940999999999995</v>
      </c>
      <c r="W42" s="3">
        <v>0.83975999999999995</v>
      </c>
      <c r="X42" s="3">
        <v>0.79610999999999998</v>
      </c>
      <c r="Y42" s="3">
        <v>0.66662999999999994</v>
      </c>
      <c r="Z42" s="3">
        <v>0.6492</v>
      </c>
      <c r="AA42" s="3">
        <v>0.64402999999999999</v>
      </c>
      <c r="AB42" s="3">
        <v>0.72560999999999998</v>
      </c>
      <c r="AC42" s="3">
        <v>0.78474999999999995</v>
      </c>
      <c r="AD42" s="3">
        <v>0.98684000000000005</v>
      </c>
      <c r="AE42" s="3">
        <v>0.99634</v>
      </c>
      <c r="AF42" s="3">
        <v>1.01586</v>
      </c>
      <c r="AG42" s="3">
        <v>0.96565000000000001</v>
      </c>
      <c r="AH42" s="3">
        <v>0.83050000000000002</v>
      </c>
      <c r="AI42" s="3">
        <v>0.85594000000000003</v>
      </c>
      <c r="AJ42" s="3">
        <v>0.66869000000000001</v>
      </c>
      <c r="AK42" s="3">
        <v>0.65727000000000002</v>
      </c>
      <c r="AL42" s="3">
        <v>0.66513</v>
      </c>
      <c r="AM42" s="1" t="str">
        <f>_xll.MSDP(A42,"Exchange_Country")</f>
        <v>United States</v>
      </c>
    </row>
    <row r="43" spans="1:39" x14ac:dyDescent="0.25">
      <c r="A43" s="2" t="s">
        <v>41</v>
      </c>
      <c r="B43" s="2" t="s">
        <v>119</v>
      </c>
      <c r="C43" s="3">
        <v>0.95479999999999998</v>
      </c>
      <c r="D43" s="3">
        <v>0.88692000000000004</v>
      </c>
      <c r="E43" s="3">
        <v>0.92203999999999997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3">
        <v>0.52066000000000001</v>
      </c>
      <c r="Z43" s="3">
        <v>0.52968000000000004</v>
      </c>
      <c r="AA43" s="3">
        <v>0.57103999999999999</v>
      </c>
      <c r="AB43" s="3">
        <v>0.46496999999999999</v>
      </c>
      <c r="AC43" s="1"/>
      <c r="AD43" s="1"/>
      <c r="AE43" s="1"/>
      <c r="AF43" s="1"/>
      <c r="AG43" s="1"/>
      <c r="AH43" s="1"/>
      <c r="AI43" s="3">
        <v>0.65925999999999996</v>
      </c>
      <c r="AJ43" s="3">
        <v>0.59760000000000002</v>
      </c>
      <c r="AK43" s="3">
        <v>0.64548000000000005</v>
      </c>
      <c r="AL43" s="3">
        <v>0.63741000000000003</v>
      </c>
      <c r="AM43" s="1" t="str">
        <f>_xll.MSDP(A43,"Exchange_Country")</f>
        <v>United States</v>
      </c>
    </row>
    <row r="44" spans="1:39" x14ac:dyDescent="0.25">
      <c r="A44" s="2" t="s">
        <v>42</v>
      </c>
      <c r="B44" s="2" t="s">
        <v>120</v>
      </c>
      <c r="C44" s="1"/>
      <c r="D44" s="1"/>
      <c r="E44" s="1"/>
      <c r="F44" s="3">
        <v>0.69793000000000005</v>
      </c>
      <c r="G44" s="1"/>
      <c r="H44" s="1"/>
      <c r="I44" s="1"/>
      <c r="J44" s="1"/>
      <c r="K44" s="1"/>
      <c r="L44" s="1"/>
      <c r="M44" s="1"/>
      <c r="N44" s="1"/>
      <c r="O44" s="1"/>
      <c r="P44" s="3">
        <v>0.57874000000000003</v>
      </c>
      <c r="Q44" s="3">
        <v>0.59887999999999997</v>
      </c>
      <c r="R44" s="3">
        <v>0.63229999999999997</v>
      </c>
      <c r="S44" s="3">
        <v>0.68789999999999996</v>
      </c>
      <c r="T44" s="3">
        <v>0.62287000000000003</v>
      </c>
      <c r="U44" s="3">
        <v>0.57698000000000005</v>
      </c>
      <c r="V44" s="3">
        <v>0.56423000000000001</v>
      </c>
      <c r="W44" s="3">
        <v>0.50307000000000002</v>
      </c>
      <c r="X44" s="1"/>
      <c r="Y44" s="1"/>
      <c r="Z44" s="1"/>
      <c r="AA44" s="3">
        <v>0.66364999999999996</v>
      </c>
      <c r="AB44" s="3">
        <v>0.66918999999999995</v>
      </c>
      <c r="AC44" s="3">
        <v>0.71758999999999995</v>
      </c>
      <c r="AD44" s="3">
        <v>0.76034000000000002</v>
      </c>
      <c r="AE44" s="3">
        <v>0.84823999999999999</v>
      </c>
      <c r="AF44" s="3">
        <v>0.66932999999999998</v>
      </c>
      <c r="AG44" s="3">
        <v>0.69972999999999996</v>
      </c>
      <c r="AH44" s="3">
        <v>0.73863000000000001</v>
      </c>
      <c r="AI44" s="3">
        <v>0.71384999999999998</v>
      </c>
      <c r="AJ44" s="3">
        <v>0.61287999999999998</v>
      </c>
      <c r="AK44" s="3">
        <v>0.63541000000000003</v>
      </c>
      <c r="AL44" s="3">
        <v>0.61499999999999999</v>
      </c>
      <c r="AM44" s="1" t="str">
        <f>_xll.MSDP(A44,"Exchange_Country")</f>
        <v>United States</v>
      </c>
    </row>
    <row r="45" spans="1:39" x14ac:dyDescent="0.25">
      <c r="A45" s="2" t="s">
        <v>43</v>
      </c>
      <c r="B45" s="2" t="s">
        <v>121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3">
        <v>0.54637000000000002</v>
      </c>
      <c r="AD45" s="3">
        <v>0.66293999999999997</v>
      </c>
      <c r="AE45" s="3">
        <v>0.64449000000000001</v>
      </c>
      <c r="AF45" s="3">
        <v>0.57155</v>
      </c>
      <c r="AG45" s="3">
        <v>0.68045999999999995</v>
      </c>
      <c r="AH45" s="3">
        <v>0.71806999999999999</v>
      </c>
      <c r="AI45" s="3">
        <v>0.67164000000000001</v>
      </c>
      <c r="AJ45" s="3">
        <v>0.58398000000000005</v>
      </c>
      <c r="AK45" s="3">
        <v>0.64334000000000002</v>
      </c>
      <c r="AL45" s="3">
        <v>0.60889000000000004</v>
      </c>
      <c r="AM45" s="1" t="str">
        <f>_xll.MSDP(A45,"Exchange_Country")</f>
        <v>United States</v>
      </c>
    </row>
    <row r="46" spans="1:39" x14ac:dyDescent="0.25">
      <c r="A46" s="2" t="s">
        <v>44</v>
      </c>
      <c r="B46" s="2" t="s">
        <v>122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3">
        <v>0.79518</v>
      </c>
      <c r="W46" s="3">
        <v>0.73226999999999998</v>
      </c>
      <c r="X46" s="3">
        <v>0.57199999999999995</v>
      </c>
      <c r="Y46" s="3">
        <v>0.62261999999999995</v>
      </c>
      <c r="Z46" s="3">
        <v>0.61541000000000001</v>
      </c>
      <c r="AA46" s="3">
        <v>0.43564999999999998</v>
      </c>
      <c r="AB46" s="3">
        <v>0.38696999999999998</v>
      </c>
      <c r="AC46" s="1"/>
      <c r="AD46" s="1"/>
      <c r="AE46" s="1"/>
      <c r="AF46" s="1"/>
      <c r="AG46" s="1"/>
      <c r="AH46" s="1"/>
      <c r="AI46" s="1"/>
      <c r="AJ46" s="1"/>
      <c r="AK46" s="3">
        <v>0.49847999999999998</v>
      </c>
      <c r="AL46" s="3">
        <v>0.56186999999999998</v>
      </c>
      <c r="AM46" s="1" t="str">
        <f>_xll.MSDP(A46,"Exchange_Country")</f>
        <v>United States</v>
      </c>
    </row>
    <row r="47" spans="1:39" x14ac:dyDescent="0.25">
      <c r="A47" s="2" t="s">
        <v>45</v>
      </c>
      <c r="B47" s="2" t="s">
        <v>123</v>
      </c>
      <c r="C47" s="3">
        <v>4.1907399999999999</v>
      </c>
      <c r="D47" s="3">
        <v>5.7646199999999999</v>
      </c>
      <c r="E47" s="3">
        <v>3.2355100000000001</v>
      </c>
      <c r="F47" s="3">
        <v>2.28701</v>
      </c>
      <c r="G47" s="3">
        <v>1.72488</v>
      </c>
      <c r="H47" s="3">
        <v>1.8956900000000001</v>
      </c>
      <c r="I47" s="3">
        <v>1.94052</v>
      </c>
      <c r="J47" s="3">
        <v>1.62524</v>
      </c>
      <c r="K47" s="3">
        <v>1.5744100000000001</v>
      </c>
      <c r="L47" s="3">
        <v>1.4557500000000001</v>
      </c>
      <c r="M47" s="3">
        <v>1.4547600000000001</v>
      </c>
      <c r="N47" s="3">
        <v>1.52346</v>
      </c>
      <c r="O47" s="3">
        <v>1.48044</v>
      </c>
      <c r="P47" s="3">
        <v>1.5291600000000001</v>
      </c>
      <c r="Q47" s="3">
        <v>1.5170600000000001</v>
      </c>
      <c r="R47" s="3">
        <v>1.66395</v>
      </c>
      <c r="S47" s="3">
        <v>1.5847199999999999</v>
      </c>
      <c r="T47" s="3">
        <v>1.34039</v>
      </c>
      <c r="U47" s="3">
        <v>1.37676</v>
      </c>
      <c r="V47" s="3">
        <v>1.0638000000000001</v>
      </c>
      <c r="W47" s="3">
        <v>1.0420700000000001</v>
      </c>
      <c r="X47" s="3">
        <v>1.2247699999999999</v>
      </c>
      <c r="Y47" s="3">
        <v>1.0668899999999999</v>
      </c>
      <c r="Z47" s="3">
        <v>1.17981</v>
      </c>
      <c r="AA47" s="3">
        <v>0.65697000000000005</v>
      </c>
      <c r="AB47" s="3">
        <v>0.78190999999999999</v>
      </c>
      <c r="AC47" s="3">
        <v>0.94027000000000005</v>
      </c>
      <c r="AD47" s="3">
        <v>0.89983000000000002</v>
      </c>
      <c r="AE47" s="3">
        <v>0.93440000000000001</v>
      </c>
      <c r="AF47" s="3">
        <v>1.00478</v>
      </c>
      <c r="AG47" s="3">
        <v>0.89819000000000004</v>
      </c>
      <c r="AH47" s="3">
        <v>0.73180999999999996</v>
      </c>
      <c r="AI47" s="3">
        <v>0.71550999999999998</v>
      </c>
      <c r="AJ47" s="3">
        <v>0.60631999999999997</v>
      </c>
      <c r="AK47" s="3">
        <v>0.59482000000000002</v>
      </c>
      <c r="AL47" s="3">
        <v>0.52847</v>
      </c>
      <c r="AM47" s="1" t="str">
        <f>_xll.MSDP(A47,"Exchange_Country")</f>
        <v>United States</v>
      </c>
    </row>
    <row r="48" spans="1:39" x14ac:dyDescent="0.25">
      <c r="A48" s="2" t="s">
        <v>46</v>
      </c>
      <c r="B48" s="2" t="s">
        <v>124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3">
        <v>0.64893999999999996</v>
      </c>
      <c r="Q48" s="3">
        <v>0.62278999999999995</v>
      </c>
      <c r="R48" s="3">
        <v>0.62126000000000003</v>
      </c>
      <c r="S48" s="3">
        <v>0.75636999999999999</v>
      </c>
      <c r="T48" s="3">
        <v>0.63395999999999997</v>
      </c>
      <c r="U48" s="3">
        <v>0.70472000000000001</v>
      </c>
      <c r="V48" s="3">
        <v>0.70211000000000001</v>
      </c>
      <c r="W48" s="3">
        <v>0.59160999999999997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3">
        <v>0.62909000000000004</v>
      </c>
      <c r="AJ48" s="3">
        <v>0.61587999999999998</v>
      </c>
      <c r="AK48" s="3">
        <v>0.52661000000000002</v>
      </c>
      <c r="AL48" s="3">
        <v>0.52458000000000005</v>
      </c>
      <c r="AM48" s="1" t="str">
        <f>_xll.MSDP(A48,"Exchange_Country")</f>
        <v>United States</v>
      </c>
    </row>
    <row r="49" spans="1:39" x14ac:dyDescent="0.25">
      <c r="A49" s="2" t="s">
        <v>47</v>
      </c>
      <c r="B49" s="2" t="s">
        <v>125</v>
      </c>
      <c r="C49" s="1"/>
      <c r="D49" s="1"/>
      <c r="E49" s="3">
        <v>1.09317</v>
      </c>
      <c r="F49" s="3">
        <v>0.97123999999999999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3">
        <v>0.53793000000000002</v>
      </c>
      <c r="Z49" s="3">
        <v>0.58786000000000005</v>
      </c>
      <c r="AA49" s="3">
        <v>0.61402000000000001</v>
      </c>
      <c r="AB49" s="3">
        <v>0.65656000000000003</v>
      </c>
      <c r="AC49" s="3">
        <v>0.57876000000000005</v>
      </c>
      <c r="AD49" s="3">
        <v>0.61900999999999995</v>
      </c>
      <c r="AE49" s="3">
        <v>0.71726999999999996</v>
      </c>
      <c r="AF49" s="3">
        <v>0.61831999999999998</v>
      </c>
      <c r="AG49" s="3">
        <v>0.57747999999999999</v>
      </c>
      <c r="AH49" s="3">
        <v>0.59757000000000005</v>
      </c>
      <c r="AI49" s="3">
        <v>0.60951</v>
      </c>
      <c r="AJ49" s="3">
        <v>0.59882000000000002</v>
      </c>
      <c r="AK49" s="3">
        <v>0.51283000000000001</v>
      </c>
      <c r="AL49" s="3">
        <v>0.48348999999999998</v>
      </c>
      <c r="AM49" s="1" t="str">
        <f>_xll.MSDP(A49,"Exchange_Country")</f>
        <v>United States</v>
      </c>
    </row>
    <row r="50" spans="1:39" x14ac:dyDescent="0.25">
      <c r="A50" s="2" t="s">
        <v>48</v>
      </c>
      <c r="B50" s="2" t="s">
        <v>126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3">
        <v>0.47011999999999998</v>
      </c>
      <c r="AL50" s="3">
        <v>0.45612999999999998</v>
      </c>
      <c r="AM50" s="1" t="str">
        <f>_xll.MSDP(A50,"Exchange_Country")</f>
        <v>United States</v>
      </c>
    </row>
    <row r="51" spans="1:39" x14ac:dyDescent="0.25">
      <c r="A51" s="2" t="s">
        <v>49</v>
      </c>
      <c r="B51" s="2" t="s">
        <v>127</v>
      </c>
      <c r="C51" s="3">
        <v>1.1173299999999999</v>
      </c>
      <c r="D51" s="3">
        <v>1.4337800000000001</v>
      </c>
      <c r="E51" s="3">
        <v>1.2392799999999999</v>
      </c>
      <c r="F51" s="1"/>
      <c r="G51" s="3">
        <v>0.88353999999999999</v>
      </c>
      <c r="H51" s="3">
        <v>0.75751999999999997</v>
      </c>
      <c r="I51" s="3">
        <v>0.72399999999999998</v>
      </c>
      <c r="J51" s="3">
        <v>0.68030000000000002</v>
      </c>
      <c r="K51" s="3">
        <v>0.76771</v>
      </c>
      <c r="L51" s="3">
        <v>0.78332000000000002</v>
      </c>
      <c r="M51" s="3">
        <v>0.69274999999999998</v>
      </c>
      <c r="N51" s="3">
        <v>0.56733999999999996</v>
      </c>
      <c r="O51" s="3">
        <v>0.60197000000000001</v>
      </c>
      <c r="P51" s="3">
        <v>0.60467000000000004</v>
      </c>
      <c r="Q51" s="3">
        <v>0.67047000000000001</v>
      </c>
      <c r="R51" s="3">
        <v>0.58367999999999998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3">
        <v>0.64537999999999995</v>
      </c>
      <c r="AG51" s="3">
        <v>0.73375999999999997</v>
      </c>
      <c r="AH51" s="3">
        <v>0.78232000000000002</v>
      </c>
      <c r="AI51" s="3">
        <v>0.63812000000000002</v>
      </c>
      <c r="AJ51" s="3">
        <v>0.54157</v>
      </c>
      <c r="AK51" s="3">
        <v>0.47138999999999998</v>
      </c>
      <c r="AL51" s="3">
        <v>0.38529999999999998</v>
      </c>
      <c r="AM51" s="1" t="str">
        <f>_xll.MSDP(A51,"Exchange_Country")</f>
        <v>United States</v>
      </c>
    </row>
    <row r="52" spans="1:39" x14ac:dyDescent="0.25">
      <c r="A52" s="1"/>
      <c r="B52" s="2" t="s">
        <v>128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3">
        <v>4.9180000000000001E-2</v>
      </c>
      <c r="AM52" s="1" t="s">
        <v>167</v>
      </c>
    </row>
    <row r="53" spans="1:39" x14ac:dyDescent="0.25">
      <c r="A53" s="2" t="s">
        <v>50</v>
      </c>
      <c r="B53" s="2" t="s">
        <v>129</v>
      </c>
      <c r="C53" s="1"/>
      <c r="D53" s="3">
        <v>0.59087000000000001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3">
        <v>0.45762000000000003</v>
      </c>
      <c r="Z53" s="3">
        <v>0.42645</v>
      </c>
      <c r="AA53" s="1"/>
      <c r="AB53" s="1"/>
      <c r="AC53" s="1"/>
      <c r="AD53" s="3">
        <v>0.54096999999999995</v>
      </c>
      <c r="AE53" s="3">
        <v>0.65122000000000002</v>
      </c>
      <c r="AF53" s="3">
        <v>0.62641000000000002</v>
      </c>
      <c r="AG53" s="3">
        <v>0.59806999999999999</v>
      </c>
      <c r="AH53" s="3">
        <v>0.58753</v>
      </c>
      <c r="AI53" s="3">
        <v>0.61568999999999996</v>
      </c>
      <c r="AJ53" s="3">
        <v>0.51166</v>
      </c>
      <c r="AK53" s="1"/>
      <c r="AL53" s="1"/>
      <c r="AM53" s="1" t="str">
        <f>_xll.MSDP(A53,"Exchange_Country")</f>
        <v>United States</v>
      </c>
    </row>
    <row r="54" spans="1:39" x14ac:dyDescent="0.25">
      <c r="A54" s="2" t="s">
        <v>51</v>
      </c>
      <c r="B54" s="2" t="s">
        <v>130</v>
      </c>
      <c r="C54" s="1"/>
      <c r="D54" s="1"/>
      <c r="E54" s="3">
        <v>0.80903999999999998</v>
      </c>
      <c r="F54" s="1"/>
      <c r="G54" s="3">
        <v>0.61651999999999996</v>
      </c>
      <c r="H54" s="3">
        <v>0.68357000000000001</v>
      </c>
      <c r="I54" s="3">
        <v>0.64908999999999994</v>
      </c>
      <c r="J54" s="3">
        <v>0.75466999999999995</v>
      </c>
      <c r="K54" s="3">
        <v>0.77454000000000001</v>
      </c>
      <c r="L54" s="3">
        <v>0.74690999999999996</v>
      </c>
      <c r="M54" s="3">
        <v>0.50668999999999997</v>
      </c>
      <c r="N54" s="3">
        <v>0.50233000000000005</v>
      </c>
      <c r="O54" s="3">
        <v>0.48054000000000002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3">
        <v>0.55130000000000001</v>
      </c>
      <c r="AD54" s="3">
        <v>0.55035999999999996</v>
      </c>
      <c r="AE54" s="3">
        <v>0.69166000000000005</v>
      </c>
      <c r="AF54" s="3">
        <v>0.61565000000000003</v>
      </c>
      <c r="AG54" s="3">
        <v>0.61331999999999998</v>
      </c>
      <c r="AH54" s="3">
        <v>0.64698</v>
      </c>
      <c r="AI54" s="3">
        <v>0.57372999999999996</v>
      </c>
      <c r="AJ54" s="3">
        <v>0.47271999999999997</v>
      </c>
      <c r="AK54" s="1"/>
      <c r="AL54" s="1"/>
      <c r="AM54" s="1" t="str">
        <f>_xll.MSDP(A54,"Exchange_Country")</f>
        <v>United States</v>
      </c>
    </row>
    <row r="55" spans="1:39" x14ac:dyDescent="0.25">
      <c r="A55" s="2" t="s">
        <v>52</v>
      </c>
      <c r="B55" s="2" t="s">
        <v>131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3">
        <v>0.55220000000000002</v>
      </c>
      <c r="AH55" s="3">
        <v>0.55796999999999997</v>
      </c>
      <c r="AI55" s="3">
        <v>0.53400999999999998</v>
      </c>
      <c r="AJ55" s="3">
        <v>0.27378999999999998</v>
      </c>
      <c r="AK55" s="1"/>
      <c r="AL55" s="1"/>
      <c r="AM55" s="1" t="str">
        <f>_xll.MSDP(A55,"Exchange_Country")</f>
        <v>United Kingdom</v>
      </c>
    </row>
    <row r="56" spans="1:39" x14ac:dyDescent="0.25">
      <c r="A56" s="2" t="s">
        <v>53</v>
      </c>
      <c r="B56" s="2" t="s">
        <v>132</v>
      </c>
      <c r="C56" s="3">
        <v>0.55720000000000003</v>
      </c>
      <c r="D56" s="1"/>
      <c r="E56" s="1"/>
      <c r="F56" s="3">
        <v>1.1310800000000001</v>
      </c>
      <c r="G56" s="3">
        <v>1.1725399999999999</v>
      </c>
      <c r="H56" s="3">
        <v>1.1964699999999999</v>
      </c>
      <c r="I56" s="3">
        <v>1.24031</v>
      </c>
      <c r="J56" s="3">
        <v>1.26779</v>
      </c>
      <c r="K56" s="3">
        <v>1.2668999999999999</v>
      </c>
      <c r="L56" s="3">
        <v>1.2735000000000001</v>
      </c>
      <c r="M56" s="3">
        <v>1.3140099999999999</v>
      </c>
      <c r="N56" s="3">
        <v>1.2912600000000001</v>
      </c>
      <c r="O56" s="3">
        <v>1.1956800000000001</v>
      </c>
      <c r="P56" s="3">
        <v>1.2226900000000001</v>
      </c>
      <c r="Q56" s="3">
        <v>1.3169500000000001</v>
      </c>
      <c r="R56" s="3">
        <v>1.411</v>
      </c>
      <c r="S56" s="3">
        <v>1.4414800000000001</v>
      </c>
      <c r="T56" s="3">
        <v>1.39713</v>
      </c>
      <c r="U56" s="3">
        <v>1.3273299999999999</v>
      </c>
      <c r="V56" s="3">
        <v>1.3631599999999999</v>
      </c>
      <c r="W56" s="3">
        <v>1.4417199999999999</v>
      </c>
      <c r="X56" s="3">
        <v>1.40378</v>
      </c>
      <c r="Y56" s="3">
        <v>1.4376100000000001</v>
      </c>
      <c r="Z56" s="3">
        <v>1.5004299999999999</v>
      </c>
      <c r="AA56" s="3">
        <v>1.31745</v>
      </c>
      <c r="AB56" s="3">
        <v>1.4234899999999999</v>
      </c>
      <c r="AC56" s="3">
        <v>1.4086099999999999</v>
      </c>
      <c r="AD56" s="3">
        <v>1.2107600000000001</v>
      </c>
      <c r="AE56" s="3">
        <v>1.31854</v>
      </c>
      <c r="AF56" s="3">
        <v>1.26644</v>
      </c>
      <c r="AG56" s="3">
        <v>1.16578</v>
      </c>
      <c r="AH56" s="3">
        <v>1.1383799999999999</v>
      </c>
      <c r="AI56" s="1"/>
      <c r="AJ56" s="1"/>
      <c r="AK56" s="1"/>
      <c r="AL56" s="1"/>
      <c r="AM56" s="1" t="str">
        <f>_xll.MSDP(A56,"Exchange_Country")</f>
        <v>United States</v>
      </c>
    </row>
    <row r="57" spans="1:39" x14ac:dyDescent="0.25">
      <c r="A57" s="2" t="s">
        <v>54</v>
      </c>
      <c r="B57" s="2" t="s">
        <v>133</v>
      </c>
      <c r="C57" s="1"/>
      <c r="D57" s="1"/>
      <c r="E57" s="1"/>
      <c r="F57" s="3">
        <v>1.19292</v>
      </c>
      <c r="G57" s="3">
        <v>1.55826</v>
      </c>
      <c r="H57" s="3">
        <v>1.46295</v>
      </c>
      <c r="I57" s="3">
        <v>1.3715900000000001</v>
      </c>
      <c r="J57" s="3">
        <v>1.31915</v>
      </c>
      <c r="K57" s="3">
        <v>1.35104</v>
      </c>
      <c r="L57" s="3">
        <v>1.53867</v>
      </c>
      <c r="M57" s="3">
        <v>1.5425199999999999</v>
      </c>
      <c r="N57" s="3">
        <v>1.4138500000000001</v>
      </c>
      <c r="O57" s="3">
        <v>1.38941</v>
      </c>
      <c r="P57" s="3">
        <v>1.40357</v>
      </c>
      <c r="Q57" s="3">
        <v>1.37595</v>
      </c>
      <c r="R57" s="3">
        <v>1.3645</v>
      </c>
      <c r="S57" s="3">
        <v>1.3676699999999999</v>
      </c>
      <c r="T57" s="3">
        <v>1.2620400000000001</v>
      </c>
      <c r="U57" s="3">
        <v>1.22109</v>
      </c>
      <c r="V57" s="3">
        <v>1.1881200000000001</v>
      </c>
      <c r="W57" s="3">
        <v>1.06958</v>
      </c>
      <c r="X57" s="3">
        <v>0.93520999999999999</v>
      </c>
      <c r="Y57" s="3">
        <v>1.14063</v>
      </c>
      <c r="Z57" s="3">
        <v>1.2760199999999999</v>
      </c>
      <c r="AA57" s="3">
        <v>1.6828700000000001</v>
      </c>
      <c r="AB57" s="3">
        <v>1.4170700000000001</v>
      </c>
      <c r="AC57" s="3">
        <v>1.13273</v>
      </c>
      <c r="AD57" s="3">
        <v>0.86007999999999996</v>
      </c>
      <c r="AE57" s="3">
        <v>0.94162999999999997</v>
      </c>
      <c r="AF57" s="3">
        <v>0.85401000000000005</v>
      </c>
      <c r="AG57" s="3">
        <v>0.85145000000000004</v>
      </c>
      <c r="AH57" s="3">
        <v>0.79296999999999995</v>
      </c>
      <c r="AI57" s="1"/>
      <c r="AJ57" s="1"/>
      <c r="AK57" s="1"/>
      <c r="AL57" s="1"/>
      <c r="AM57" s="1" t="str">
        <f>_xll.MSDP(A57,"Exchange_Country")</f>
        <v>United States</v>
      </c>
    </row>
    <row r="58" spans="1:39" x14ac:dyDescent="0.25">
      <c r="A58" s="2" t="s">
        <v>55</v>
      </c>
      <c r="B58" s="2" t="s">
        <v>134</v>
      </c>
      <c r="C58" s="3">
        <v>0.80562</v>
      </c>
      <c r="D58" s="3">
        <v>0.84004999999999996</v>
      </c>
      <c r="E58" s="3">
        <v>1.17018</v>
      </c>
      <c r="F58" s="3">
        <v>1.1539900000000001</v>
      </c>
      <c r="G58" s="3">
        <v>0.83699999999999997</v>
      </c>
      <c r="H58" s="3">
        <v>0.86950000000000005</v>
      </c>
      <c r="I58" s="3">
        <v>0.93584000000000001</v>
      </c>
      <c r="J58" s="3">
        <v>1.00244</v>
      </c>
      <c r="K58" s="3">
        <v>1.07578</v>
      </c>
      <c r="L58" s="3">
        <v>1.0621499999999999</v>
      </c>
      <c r="M58" s="3">
        <v>0.93886000000000003</v>
      </c>
      <c r="N58" s="3">
        <v>0.87690999999999997</v>
      </c>
      <c r="O58" s="3">
        <v>0.83430000000000004</v>
      </c>
      <c r="P58" s="3">
        <v>0.87787999999999999</v>
      </c>
      <c r="Q58" s="3">
        <v>0.93386999999999998</v>
      </c>
      <c r="R58" s="3">
        <v>0.88070999999999999</v>
      </c>
      <c r="S58" s="3">
        <v>0.89939000000000002</v>
      </c>
      <c r="T58" s="3">
        <v>0.90829000000000004</v>
      </c>
      <c r="U58" s="3">
        <v>0.86212999999999995</v>
      </c>
      <c r="V58" s="3">
        <v>0.76307000000000003</v>
      </c>
      <c r="W58" s="3">
        <v>0.78756000000000004</v>
      </c>
      <c r="X58" s="3">
        <v>0.74331999999999998</v>
      </c>
      <c r="Y58" s="3">
        <v>0.72216000000000002</v>
      </c>
      <c r="Z58" s="3">
        <v>0.79166000000000003</v>
      </c>
      <c r="AA58" s="3">
        <v>0.72389000000000003</v>
      </c>
      <c r="AB58" s="3">
        <v>0.75383999999999995</v>
      </c>
      <c r="AC58" s="3">
        <v>0.64117000000000002</v>
      </c>
      <c r="AD58" s="3">
        <v>0.85875999999999997</v>
      </c>
      <c r="AE58" s="3">
        <v>0.74495</v>
      </c>
      <c r="AF58" s="3">
        <v>0.48093000000000002</v>
      </c>
      <c r="AG58" s="1"/>
      <c r="AH58" s="1"/>
      <c r="AI58" s="1"/>
      <c r="AJ58" s="1"/>
      <c r="AK58" s="1"/>
      <c r="AL58" s="1"/>
      <c r="AM58" s="1" t="str">
        <f>_xll.MSDP(A58,"Exchange_Country")</f>
        <v>United States</v>
      </c>
    </row>
    <row r="59" spans="1:39" x14ac:dyDescent="0.25">
      <c r="A59" s="1"/>
      <c r="B59" s="2" t="s">
        <v>135</v>
      </c>
      <c r="C59" s="3">
        <v>0.65622999999999998</v>
      </c>
      <c r="D59" s="3">
        <v>0.52422000000000002</v>
      </c>
      <c r="E59" s="3">
        <v>0.99511000000000005</v>
      </c>
      <c r="F59" s="3">
        <v>0.78595000000000004</v>
      </c>
      <c r="G59" s="3">
        <v>0.70564000000000004</v>
      </c>
      <c r="H59" s="3">
        <v>0.72504999999999997</v>
      </c>
      <c r="I59" s="3">
        <v>0.81223000000000001</v>
      </c>
      <c r="J59" s="3">
        <v>0.90515999999999996</v>
      </c>
      <c r="K59" s="3">
        <v>0.92566000000000004</v>
      </c>
      <c r="L59" s="3">
        <v>0.99785999999999997</v>
      </c>
      <c r="M59" s="3">
        <v>0.97311999999999999</v>
      </c>
      <c r="N59" s="3">
        <v>1.01434</v>
      </c>
      <c r="O59" s="3">
        <v>0.98136000000000001</v>
      </c>
      <c r="P59" s="3">
        <v>1.1561300000000001</v>
      </c>
      <c r="Q59" s="3">
        <v>1.1448499999999999</v>
      </c>
      <c r="R59" s="3">
        <v>1.12639</v>
      </c>
      <c r="S59" s="3">
        <v>0.80123999999999995</v>
      </c>
      <c r="T59" s="3">
        <v>0.75534999999999997</v>
      </c>
      <c r="U59" s="3">
        <v>0.86416999999999999</v>
      </c>
      <c r="V59" s="3">
        <v>0.83421999999999996</v>
      </c>
      <c r="W59" s="3">
        <v>0.89829000000000003</v>
      </c>
      <c r="X59" s="3">
        <v>1.1005</v>
      </c>
      <c r="Y59" s="3">
        <v>0.88782000000000005</v>
      </c>
      <c r="Z59" s="3">
        <v>1.0044</v>
      </c>
      <c r="AA59" s="3">
        <v>0.91720000000000002</v>
      </c>
      <c r="AB59" s="3">
        <v>0.85185</v>
      </c>
      <c r="AC59" s="3">
        <v>0.79647000000000001</v>
      </c>
      <c r="AD59" s="3">
        <v>0.78232999999999997</v>
      </c>
      <c r="AE59" s="3">
        <v>0.54942000000000002</v>
      </c>
      <c r="AF59" s="1"/>
      <c r="AG59" s="1"/>
      <c r="AH59" s="1"/>
      <c r="AI59" s="1"/>
      <c r="AJ59" s="1"/>
      <c r="AK59" s="1"/>
      <c r="AL59" s="1"/>
      <c r="AM59" s="1" t="str">
        <f>_xll.MSDP(A59,"Exchange_Country")</f>
        <v>Null parameter</v>
      </c>
    </row>
    <row r="60" spans="1:39" x14ac:dyDescent="0.25">
      <c r="A60" s="2" t="s">
        <v>56</v>
      </c>
      <c r="B60" s="2" t="s">
        <v>136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3">
        <v>0.60140000000000005</v>
      </c>
      <c r="AB60" s="3">
        <v>0.38072</v>
      </c>
      <c r="AC60" s="3">
        <v>0.45527000000000001</v>
      </c>
      <c r="AD60" s="3">
        <v>0.31964999999999999</v>
      </c>
      <c r="AE60" s="3">
        <v>0.23427999999999999</v>
      </c>
      <c r="AF60" s="1"/>
      <c r="AG60" s="1"/>
      <c r="AH60" s="1"/>
      <c r="AI60" s="1"/>
      <c r="AJ60" s="1"/>
      <c r="AK60" s="1"/>
      <c r="AL60" s="1"/>
      <c r="AM60" s="1" t="str">
        <f>_xll.MSDP(A60,"Exchange_Country")</f>
        <v>United States</v>
      </c>
    </row>
    <row r="61" spans="1:39" x14ac:dyDescent="0.25">
      <c r="A61" s="2" t="s">
        <v>57</v>
      </c>
      <c r="B61" s="2" t="s">
        <v>137</v>
      </c>
      <c r="C61" s="1"/>
      <c r="D61" s="1"/>
      <c r="E61" s="1"/>
      <c r="F61" s="3">
        <v>0.64620999999999995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3">
        <v>0.64280999999999999</v>
      </c>
      <c r="T61" s="3">
        <v>0.55801999999999996</v>
      </c>
      <c r="U61" s="3">
        <v>0.52829999999999999</v>
      </c>
      <c r="V61" s="1"/>
      <c r="W61" s="1"/>
      <c r="X61" s="3">
        <v>0.60757000000000005</v>
      </c>
      <c r="Y61" s="3">
        <v>0.54757999999999996</v>
      </c>
      <c r="Z61" s="3">
        <v>0.53776000000000002</v>
      </c>
      <c r="AA61" s="3">
        <v>0.52119000000000004</v>
      </c>
      <c r="AB61" s="3">
        <v>0.52312999999999998</v>
      </c>
      <c r="AC61" s="3">
        <v>0.58389999999999997</v>
      </c>
      <c r="AD61" s="1"/>
      <c r="AE61" s="1"/>
      <c r="AF61" s="1"/>
      <c r="AG61" s="1"/>
      <c r="AH61" s="1"/>
      <c r="AI61" s="1"/>
      <c r="AJ61" s="1"/>
      <c r="AK61" s="1"/>
      <c r="AL61" s="1"/>
      <c r="AM61" s="1" t="str">
        <f>_xll.MSDP(A61,"Exchange_Country")</f>
        <v>United States</v>
      </c>
    </row>
    <row r="62" spans="1:39" x14ac:dyDescent="0.25">
      <c r="A62" s="2" t="s">
        <v>58</v>
      </c>
      <c r="B62" s="2" t="s">
        <v>138</v>
      </c>
      <c r="C62" s="3">
        <v>0.75838000000000005</v>
      </c>
      <c r="D62" s="3">
        <v>0.59897</v>
      </c>
      <c r="E62" s="3">
        <v>0.77244000000000002</v>
      </c>
      <c r="F62" s="3">
        <v>0.74931999999999999</v>
      </c>
      <c r="G62" s="3">
        <v>0.72258</v>
      </c>
      <c r="H62" s="3">
        <v>0.66817000000000004</v>
      </c>
      <c r="I62" s="3">
        <v>0.74243000000000003</v>
      </c>
      <c r="J62" s="3">
        <v>0.68145</v>
      </c>
      <c r="K62" s="3">
        <v>0.67830999999999997</v>
      </c>
      <c r="L62" s="3">
        <v>0.63429999999999997</v>
      </c>
      <c r="M62" s="3">
        <v>0.59287999999999996</v>
      </c>
      <c r="N62" s="3">
        <v>0.55925999999999998</v>
      </c>
      <c r="O62" s="3">
        <v>0.74939</v>
      </c>
      <c r="P62" s="3">
        <v>0.75832999999999995</v>
      </c>
      <c r="Q62" s="3">
        <v>0.75292000000000003</v>
      </c>
      <c r="R62" s="3">
        <v>0.72045999999999999</v>
      </c>
      <c r="S62" s="3">
        <v>0.72819999999999996</v>
      </c>
      <c r="T62" s="3">
        <v>0.61245000000000005</v>
      </c>
      <c r="U62" s="3">
        <v>0.63541000000000003</v>
      </c>
      <c r="V62" s="3">
        <v>0.53829000000000005</v>
      </c>
      <c r="W62" s="3">
        <v>0.52622999999999998</v>
      </c>
      <c r="X62" s="3">
        <v>0.55091000000000001</v>
      </c>
      <c r="Y62" s="3">
        <v>0.4874</v>
      </c>
      <c r="Z62" s="3">
        <v>0.42446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 t="str">
        <f>_xll.MSDP(A62,"Exchange_Country")</f>
        <v>United States</v>
      </c>
    </row>
    <row r="63" spans="1:39" x14ac:dyDescent="0.25">
      <c r="A63" s="2" t="s">
        <v>59</v>
      </c>
      <c r="B63" s="2" t="s">
        <v>139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3">
        <v>0.5665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 t="str">
        <f>_xll.MSDP(A63,"Exchange_Country")</f>
        <v>Mexico</v>
      </c>
    </row>
    <row r="64" spans="1:39" x14ac:dyDescent="0.25">
      <c r="A64" s="2" t="s">
        <v>60</v>
      </c>
      <c r="B64" s="2" t="s">
        <v>140</v>
      </c>
      <c r="C64" s="3">
        <v>2.2547000000000001</v>
      </c>
      <c r="D64" s="3">
        <v>3.3052700000000002</v>
      </c>
      <c r="E64" s="3">
        <v>1.6116900000000001</v>
      </c>
      <c r="F64" s="3">
        <v>1.26366</v>
      </c>
      <c r="G64" s="3">
        <v>0.98585999999999996</v>
      </c>
      <c r="H64" s="3">
        <v>0.96823999999999999</v>
      </c>
      <c r="I64" s="3">
        <v>0.98604000000000003</v>
      </c>
      <c r="J64" s="3">
        <v>0.93967999999999996</v>
      </c>
      <c r="K64" s="3">
        <v>0.91974999999999996</v>
      </c>
      <c r="L64" s="3">
        <v>0.97592000000000001</v>
      </c>
      <c r="M64" s="3">
        <v>0.91539999999999999</v>
      </c>
      <c r="N64" s="3">
        <v>0.80354999999999999</v>
      </c>
      <c r="O64" s="3">
        <v>0.80332000000000003</v>
      </c>
      <c r="P64" s="3">
        <v>0.79962999999999995</v>
      </c>
      <c r="Q64" s="3">
        <v>0.78547</v>
      </c>
      <c r="R64" s="3">
        <v>0.77193999999999996</v>
      </c>
      <c r="S64" s="3">
        <v>0.76537999999999995</v>
      </c>
      <c r="T64" s="3">
        <v>0.71970000000000001</v>
      </c>
      <c r="U64" s="3">
        <v>0.72387999999999997</v>
      </c>
      <c r="V64" s="3">
        <v>0.49347000000000002</v>
      </c>
      <c r="W64" s="3">
        <v>0.40795999999999999</v>
      </c>
      <c r="X64" s="3">
        <v>0.54171000000000002</v>
      </c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 t="str">
        <f>_xll.MSDP(A64,"Exchange_Country")</f>
        <v>United States</v>
      </c>
    </row>
    <row r="65" spans="1:39" x14ac:dyDescent="0.25">
      <c r="A65" s="2" t="s">
        <v>61</v>
      </c>
      <c r="B65" s="2" t="s">
        <v>141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3">
        <v>0.51997000000000004</v>
      </c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 t="str">
        <f>_xll.MSDP(A65,"Exchange_Country")</f>
        <v>United States</v>
      </c>
    </row>
    <row r="66" spans="1:39" x14ac:dyDescent="0.25">
      <c r="A66" s="2" t="s">
        <v>62</v>
      </c>
      <c r="B66" s="2" t="s">
        <v>142</v>
      </c>
      <c r="C66" s="1"/>
      <c r="D66" s="1"/>
      <c r="E66" s="1"/>
      <c r="F66" s="3">
        <v>0.81701999999999997</v>
      </c>
      <c r="G66" s="3">
        <v>0.63905000000000001</v>
      </c>
      <c r="H66" s="3">
        <v>0.63505999999999996</v>
      </c>
      <c r="I66" s="3">
        <v>0.63897999999999999</v>
      </c>
      <c r="J66" s="3">
        <v>0.57935999999999999</v>
      </c>
      <c r="K66" s="3">
        <v>0.57937000000000005</v>
      </c>
      <c r="L66" s="3">
        <v>0.56137000000000004</v>
      </c>
      <c r="M66" s="3">
        <v>0.56040999999999996</v>
      </c>
      <c r="N66" s="3">
        <v>0.58426</v>
      </c>
      <c r="O66" s="3">
        <v>0.61904999999999999</v>
      </c>
      <c r="P66" s="3">
        <v>0.62551000000000001</v>
      </c>
      <c r="Q66" s="3">
        <v>0.64554999999999996</v>
      </c>
      <c r="R66" s="3">
        <v>0.59341999999999995</v>
      </c>
      <c r="S66" s="3">
        <v>0.58972999999999998</v>
      </c>
      <c r="T66" s="3">
        <v>0.51598999999999995</v>
      </c>
      <c r="U66" s="3">
        <v>0.54149999999999998</v>
      </c>
      <c r="V66" s="3">
        <v>0.48177999999999999</v>
      </c>
      <c r="W66" s="3">
        <v>0.46406999999999998</v>
      </c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 t="str">
        <f>_xll.MSDP(A66,"Exchange_Country")</f>
        <v>United States</v>
      </c>
    </row>
    <row r="67" spans="1:39" x14ac:dyDescent="0.25">
      <c r="A67" s="2" t="s">
        <v>63</v>
      </c>
      <c r="B67" s="2" t="s">
        <v>143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3">
        <v>0.47927999999999998</v>
      </c>
      <c r="W67" s="3">
        <v>0.40694000000000002</v>
      </c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 t="str">
        <f>_xll.MSDP(A67,"Exchange_Country")</f>
        <v>United States</v>
      </c>
    </row>
    <row r="68" spans="1:39" x14ac:dyDescent="0.25">
      <c r="A68" s="2" t="s">
        <v>64</v>
      </c>
      <c r="B68" s="2" t="s">
        <v>144</v>
      </c>
      <c r="C68" s="1"/>
      <c r="D68" s="1"/>
      <c r="E68" s="3">
        <v>0.79446000000000006</v>
      </c>
      <c r="F68" s="3">
        <v>0.78569</v>
      </c>
      <c r="G68" s="3">
        <v>0.72284999999999999</v>
      </c>
      <c r="H68" s="3">
        <v>0.73436000000000001</v>
      </c>
      <c r="I68" s="3">
        <v>0.70672000000000001</v>
      </c>
      <c r="J68" s="3">
        <v>0.63990000000000002</v>
      </c>
      <c r="K68" s="3">
        <v>0.70782</v>
      </c>
      <c r="L68" s="3">
        <v>0.75373000000000001</v>
      </c>
      <c r="M68" s="3">
        <v>0.92027000000000003</v>
      </c>
      <c r="N68" s="3">
        <v>0.92461000000000004</v>
      </c>
      <c r="O68" s="3">
        <v>0.89625999999999995</v>
      </c>
      <c r="P68" s="3">
        <v>0.90976000000000001</v>
      </c>
      <c r="Q68" s="3">
        <v>0.91176999999999997</v>
      </c>
      <c r="R68" s="3">
        <v>0.89066000000000001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9" x14ac:dyDescent="0.25">
      <c r="A69" s="2" t="s">
        <v>65</v>
      </c>
      <c r="B69" s="2" t="s">
        <v>145</v>
      </c>
      <c r="C69" s="1"/>
      <c r="D69" s="1"/>
      <c r="E69" s="1"/>
      <c r="F69" s="1"/>
      <c r="G69" s="3">
        <v>0.68357999999999997</v>
      </c>
      <c r="H69" s="3">
        <v>0.61075000000000002</v>
      </c>
      <c r="I69" s="3">
        <v>0.70979999999999999</v>
      </c>
      <c r="J69" s="3">
        <v>0.71423000000000003</v>
      </c>
      <c r="K69" s="3">
        <v>0.65622999999999998</v>
      </c>
      <c r="L69" s="3">
        <v>0.60946</v>
      </c>
      <c r="M69" s="3">
        <v>0.59045999999999998</v>
      </c>
      <c r="N69" s="3">
        <v>0.56518000000000002</v>
      </c>
      <c r="O69" s="3">
        <v>0.52939999999999998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9" x14ac:dyDescent="0.25">
      <c r="A70" s="2" t="s">
        <v>66</v>
      </c>
      <c r="B70" s="2" t="s">
        <v>146</v>
      </c>
      <c r="C70" s="1"/>
      <c r="D70" s="3">
        <v>0.58916999999999997</v>
      </c>
      <c r="E70" s="1"/>
      <c r="F70" s="3">
        <v>0.93255999999999994</v>
      </c>
      <c r="G70" s="3">
        <v>0.88566</v>
      </c>
      <c r="H70" s="3">
        <v>1.15551</v>
      </c>
      <c r="I70" s="3">
        <v>1.1599200000000001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9" x14ac:dyDescent="0.25">
      <c r="A71" s="2" t="s">
        <v>67</v>
      </c>
      <c r="B71" s="2" t="s">
        <v>147</v>
      </c>
      <c r="C71" s="1"/>
      <c r="D71" s="3">
        <v>0.56671000000000005</v>
      </c>
      <c r="E71" s="1"/>
      <c r="F71" s="1"/>
      <c r="G71" s="3">
        <v>0.95111000000000001</v>
      </c>
      <c r="H71" s="3">
        <v>0.90285000000000004</v>
      </c>
      <c r="I71" s="3">
        <v>0.91252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9" x14ac:dyDescent="0.25">
      <c r="A72" s="2" t="s">
        <v>68</v>
      </c>
      <c r="B72" s="2" t="s">
        <v>148</v>
      </c>
      <c r="C72" s="1"/>
      <c r="D72" s="1"/>
      <c r="E72" s="3">
        <v>1.45346</v>
      </c>
      <c r="F72" s="3">
        <v>1.23021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9" x14ac:dyDescent="0.25">
      <c r="A73" s="1"/>
      <c r="B73" s="2" t="s">
        <v>149</v>
      </c>
      <c r="C73" s="1"/>
      <c r="D73" s="1"/>
      <c r="E73" s="3">
        <v>3.9483299999999999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9" x14ac:dyDescent="0.25">
      <c r="A74" s="2" t="s">
        <v>69</v>
      </c>
      <c r="B74" s="2" t="s">
        <v>150</v>
      </c>
      <c r="C74" s="3">
        <v>1.2605900000000001</v>
      </c>
      <c r="D74" s="3">
        <v>0.83655999999999997</v>
      </c>
      <c r="E74" s="3">
        <v>1.3251599999999999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9" x14ac:dyDescent="0.25">
      <c r="A75" s="2" t="s">
        <v>70</v>
      </c>
      <c r="B75" s="2" t="s">
        <v>151</v>
      </c>
      <c r="C75" s="1"/>
      <c r="D75" s="1"/>
      <c r="E75" s="3">
        <v>1.06084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9" x14ac:dyDescent="0.25">
      <c r="A76" s="2" t="s">
        <v>71</v>
      </c>
      <c r="B76" s="2" t="s">
        <v>152</v>
      </c>
      <c r="C76" s="3">
        <v>1.1710799999999999</v>
      </c>
      <c r="D76" s="3">
        <v>1.6029199999999999</v>
      </c>
      <c r="E76" s="3">
        <v>0.88190999999999997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9" x14ac:dyDescent="0.25">
      <c r="A77" s="2" t="s">
        <v>72</v>
      </c>
      <c r="B77" s="2" t="s">
        <v>153</v>
      </c>
      <c r="C77" s="3">
        <v>0.81474000000000002</v>
      </c>
      <c r="D77" s="3">
        <v>0.64800999999999997</v>
      </c>
      <c r="E77" s="3">
        <v>0.78974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9" x14ac:dyDescent="0.25">
      <c r="A78" s="2" t="s">
        <v>73</v>
      </c>
      <c r="B78" s="2" t="s">
        <v>154</v>
      </c>
      <c r="C78" s="3">
        <v>0.63158000000000003</v>
      </c>
      <c r="D78" s="3">
        <v>0.79401999999999995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9" x14ac:dyDescent="0.25">
      <c r="A79" s="2" t="s">
        <v>74</v>
      </c>
      <c r="B79" s="2" t="s">
        <v>155</v>
      </c>
      <c r="C79" s="3">
        <v>0.82328000000000001</v>
      </c>
      <c r="D79" s="3">
        <v>0.72682999999999998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9" x14ac:dyDescent="0.25">
      <c r="A80" s="2" t="s">
        <v>75</v>
      </c>
      <c r="B80" s="2" t="s">
        <v>156</v>
      </c>
      <c r="C80" s="3">
        <v>0.62356</v>
      </c>
      <c r="D80" s="3">
        <v>0.60785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x14ac:dyDescent="0.25">
      <c r="A81" s="2" t="s">
        <v>76</v>
      </c>
      <c r="B81" s="2" t="s">
        <v>157</v>
      </c>
      <c r="C81" s="3">
        <v>0.67747000000000002</v>
      </c>
      <c r="D81" s="3">
        <v>0.58736999999999995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x14ac:dyDescent="0.25">
      <c r="A82" s="1"/>
      <c r="B82" s="2" t="s">
        <v>158</v>
      </c>
      <c r="C82" s="3">
        <v>0.79908000000000001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x14ac:dyDescent="0.25">
      <c r="A83" s="2" t="s">
        <v>77</v>
      </c>
      <c r="B83" s="2" t="s">
        <v>159</v>
      </c>
      <c r="C83" s="3">
        <v>0.54986999999999997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1"/>
  <sheetViews>
    <sheetView tabSelected="1" workbookViewId="0"/>
  </sheetViews>
  <sheetFormatPr defaultRowHeight="15" x14ac:dyDescent="0.25"/>
  <sheetData>
    <row r="1" spans="1:35" x14ac:dyDescent="0.25">
      <c r="A1" s="1" t="str">
        <f>_xll.MSHOLDING("XNAS:ADRE","SECID","11/13/2002","3/31/2009","Freq=M,HT=stocks,mv=true,name=true")</f>
        <v>SecID</v>
      </c>
      <c r="B1" s="2" t="s">
        <v>160</v>
      </c>
      <c r="C1" s="4">
        <v>37894</v>
      </c>
      <c r="D1" s="4">
        <v>38017</v>
      </c>
      <c r="E1" s="4">
        <v>38260</v>
      </c>
      <c r="F1" s="4">
        <v>38656</v>
      </c>
      <c r="G1" s="4">
        <v>38898</v>
      </c>
      <c r="H1" s="4">
        <v>38929</v>
      </c>
      <c r="I1" s="4">
        <v>38960</v>
      </c>
      <c r="J1" s="4">
        <v>38990</v>
      </c>
      <c r="K1" s="4">
        <v>39021</v>
      </c>
      <c r="L1" s="4">
        <v>39051</v>
      </c>
      <c r="M1" s="4">
        <v>39082</v>
      </c>
      <c r="N1" s="4">
        <v>39113</v>
      </c>
      <c r="O1" s="4">
        <v>39141</v>
      </c>
      <c r="P1" s="4">
        <v>39172</v>
      </c>
      <c r="Q1" s="4">
        <v>39202</v>
      </c>
      <c r="R1" s="4">
        <v>39233</v>
      </c>
      <c r="S1" s="4">
        <v>39263</v>
      </c>
      <c r="T1" s="4">
        <v>39294</v>
      </c>
      <c r="U1" s="4">
        <v>39325</v>
      </c>
      <c r="V1" s="4">
        <v>39355</v>
      </c>
      <c r="W1" s="4">
        <v>39386</v>
      </c>
      <c r="X1" s="4">
        <v>39478</v>
      </c>
      <c r="Y1" s="4">
        <v>39568</v>
      </c>
      <c r="Z1" s="4">
        <v>39599</v>
      </c>
      <c r="AA1" s="4">
        <v>39629</v>
      </c>
      <c r="AB1" s="4">
        <v>39691</v>
      </c>
      <c r="AC1" s="4">
        <v>39721</v>
      </c>
      <c r="AD1" s="4">
        <v>39752</v>
      </c>
      <c r="AE1" s="4">
        <v>39782</v>
      </c>
      <c r="AF1" s="4">
        <v>39813</v>
      </c>
      <c r="AG1" s="4">
        <v>39844</v>
      </c>
      <c r="AH1" s="4">
        <v>39872</v>
      </c>
      <c r="AI1" s="4">
        <v>39903</v>
      </c>
    </row>
    <row r="2" spans="1:35" x14ac:dyDescent="0.25">
      <c r="A2" s="2" t="s">
        <v>1</v>
      </c>
      <c r="B2" s="2" t="s">
        <v>79</v>
      </c>
      <c r="C2" s="5">
        <v>826741</v>
      </c>
      <c r="D2" s="5">
        <v>1902391</v>
      </c>
      <c r="E2" s="5">
        <v>1436954</v>
      </c>
      <c r="F2" s="5">
        <v>13302411</v>
      </c>
      <c r="G2" s="5">
        <v>36196639</v>
      </c>
      <c r="H2" s="5">
        <v>15753485</v>
      </c>
      <c r="I2" s="5">
        <v>16540472</v>
      </c>
      <c r="J2" s="5">
        <v>16814429</v>
      </c>
      <c r="K2" s="5">
        <v>17679298</v>
      </c>
      <c r="L2" s="5">
        <v>19260979</v>
      </c>
      <c r="M2" s="5">
        <v>23304170</v>
      </c>
      <c r="N2" s="5">
        <v>23197846</v>
      </c>
      <c r="O2" s="5">
        <v>24894192</v>
      </c>
      <c r="P2" s="5">
        <v>23807498</v>
      </c>
      <c r="Q2" s="5">
        <v>24315021</v>
      </c>
      <c r="R2" s="5">
        <v>26398927</v>
      </c>
      <c r="S2" s="5">
        <v>32524476</v>
      </c>
      <c r="T2" s="5">
        <v>32335880</v>
      </c>
      <c r="U2" s="5">
        <v>31148413</v>
      </c>
      <c r="V2" s="5">
        <v>32564693</v>
      </c>
      <c r="W2" s="5">
        <v>38030830</v>
      </c>
      <c r="X2" s="5">
        <v>33350316</v>
      </c>
      <c r="Y2" s="5">
        <v>41151483</v>
      </c>
      <c r="Z2" s="5">
        <v>41890466</v>
      </c>
      <c r="AA2" s="5">
        <v>40064782</v>
      </c>
      <c r="AB2" s="5">
        <v>31817874</v>
      </c>
      <c r="AC2" s="5">
        <v>29706929</v>
      </c>
      <c r="AD2" s="5">
        <v>24464179</v>
      </c>
      <c r="AE2" s="5">
        <v>20896175</v>
      </c>
      <c r="AF2" s="5">
        <v>22782510</v>
      </c>
      <c r="AG2" s="5">
        <v>21126175</v>
      </c>
      <c r="AH2" s="5">
        <v>20615574</v>
      </c>
      <c r="AI2" s="5">
        <v>24105071</v>
      </c>
    </row>
    <row r="3" spans="1:35" x14ac:dyDescent="0.25">
      <c r="A3" s="2" t="s">
        <v>0</v>
      </c>
      <c r="B3" s="2" t="s">
        <v>161</v>
      </c>
      <c r="C3" s="1"/>
      <c r="D3" s="5">
        <v>520998</v>
      </c>
      <c r="E3" s="1"/>
      <c r="F3" s="5">
        <v>9858461</v>
      </c>
      <c r="G3" s="5">
        <v>30909417</v>
      </c>
      <c r="H3" s="5">
        <v>14779153</v>
      </c>
      <c r="I3" s="5">
        <v>14063514</v>
      </c>
      <c r="J3" s="5">
        <v>12699151</v>
      </c>
      <c r="K3" s="5">
        <v>14295269</v>
      </c>
      <c r="L3" s="5">
        <v>14736772</v>
      </c>
      <c r="M3" s="5">
        <v>19309135</v>
      </c>
      <c r="N3" s="5">
        <v>18271579</v>
      </c>
      <c r="O3" s="5">
        <v>17724968</v>
      </c>
      <c r="P3" s="5">
        <v>19170221</v>
      </c>
      <c r="Q3" s="5">
        <v>19939689</v>
      </c>
      <c r="R3" s="5">
        <v>22475423</v>
      </c>
      <c r="S3" s="5">
        <v>13590819</v>
      </c>
      <c r="T3" s="5">
        <v>31027747</v>
      </c>
      <c r="U3" s="5">
        <v>29146778</v>
      </c>
      <c r="V3" s="5">
        <v>36306146</v>
      </c>
      <c r="W3" s="5">
        <v>51803994</v>
      </c>
      <c r="X3" s="5">
        <v>58477657</v>
      </c>
      <c r="Y3" s="5">
        <v>64547598</v>
      </c>
      <c r="Z3" s="5">
        <v>77120956</v>
      </c>
      <c r="AA3" s="5">
        <v>75145967</v>
      </c>
      <c r="AB3" s="5">
        <v>49470588</v>
      </c>
      <c r="AC3" s="5">
        <v>41682400</v>
      </c>
      <c r="AD3" s="5">
        <v>22965888</v>
      </c>
      <c r="AE3" s="5">
        <v>18256824</v>
      </c>
      <c r="AF3" s="5">
        <v>20679881</v>
      </c>
      <c r="AG3" s="5">
        <v>21322516</v>
      </c>
      <c r="AH3" s="5">
        <v>21498810</v>
      </c>
      <c r="AI3" s="5">
        <v>23183664</v>
      </c>
    </row>
    <row r="4" spans="1:35" x14ac:dyDescent="0.25">
      <c r="A4" s="2" t="s">
        <v>4</v>
      </c>
      <c r="B4" s="2" t="s">
        <v>82</v>
      </c>
      <c r="C4" s="5">
        <v>353930</v>
      </c>
      <c r="D4" s="5">
        <v>935654</v>
      </c>
      <c r="E4" s="5">
        <v>903942</v>
      </c>
      <c r="F4" s="5">
        <v>10669674</v>
      </c>
      <c r="G4" s="5">
        <v>24802194</v>
      </c>
      <c r="H4" s="5">
        <v>11968410</v>
      </c>
      <c r="I4" s="5">
        <v>12296767</v>
      </c>
      <c r="J4" s="5">
        <v>11731085</v>
      </c>
      <c r="K4" s="5">
        <v>11806227</v>
      </c>
      <c r="L4" s="5">
        <v>11285793</v>
      </c>
      <c r="M4" s="5">
        <v>13019505</v>
      </c>
      <c r="N4" s="5">
        <v>14663236</v>
      </c>
      <c r="O4" s="5">
        <v>15668803</v>
      </c>
      <c r="P4" s="5">
        <v>16286317</v>
      </c>
      <c r="Q4" s="5">
        <v>17363624</v>
      </c>
      <c r="R4" s="5">
        <v>18635445</v>
      </c>
      <c r="S4" s="5">
        <v>20524309</v>
      </c>
      <c r="T4" s="5">
        <v>22793161</v>
      </c>
      <c r="U4" s="5">
        <v>22989176</v>
      </c>
      <c r="V4" s="5">
        <v>24364802</v>
      </c>
      <c r="W4" s="5">
        <v>26758784</v>
      </c>
      <c r="X4" s="5">
        <v>28172060</v>
      </c>
      <c r="Y4" s="5">
        <v>31267986</v>
      </c>
      <c r="Z4" s="5">
        <v>30544530</v>
      </c>
      <c r="AA4" s="5">
        <v>31088765</v>
      </c>
      <c r="AB4" s="5">
        <v>28529546</v>
      </c>
      <c r="AC4" s="5">
        <v>26867282</v>
      </c>
      <c r="AD4" s="5">
        <v>23503986</v>
      </c>
      <c r="AE4" s="5">
        <v>23338756</v>
      </c>
      <c r="AF4" s="5">
        <v>22720333</v>
      </c>
      <c r="AG4" s="5">
        <v>21493607</v>
      </c>
      <c r="AH4" s="5">
        <v>22557970</v>
      </c>
      <c r="AI4" s="5">
        <v>22455218</v>
      </c>
    </row>
    <row r="5" spans="1:35" x14ac:dyDescent="0.25">
      <c r="A5" s="2" t="s">
        <v>3</v>
      </c>
      <c r="B5" s="2" t="s">
        <v>81</v>
      </c>
      <c r="C5" s="5">
        <v>272014</v>
      </c>
      <c r="D5" s="5">
        <v>980323</v>
      </c>
      <c r="E5" s="5">
        <v>724501</v>
      </c>
      <c r="F5" s="5">
        <v>8248893</v>
      </c>
      <c r="G5" s="5">
        <v>23854560</v>
      </c>
      <c r="H5" s="5">
        <v>12421800</v>
      </c>
      <c r="I5" s="5">
        <v>12513867</v>
      </c>
      <c r="J5" s="5">
        <v>12918551</v>
      </c>
      <c r="K5" s="5">
        <v>15507982</v>
      </c>
      <c r="L5" s="5">
        <v>15776132</v>
      </c>
      <c r="M5" s="5">
        <v>19227022</v>
      </c>
      <c r="N5" s="5">
        <v>20474217</v>
      </c>
      <c r="O5" s="5">
        <v>21726176</v>
      </c>
      <c r="P5" s="5">
        <v>20724288</v>
      </c>
      <c r="Q5" s="5">
        <v>21664708</v>
      </c>
      <c r="R5" s="5">
        <v>23435601</v>
      </c>
      <c r="S5" s="5">
        <v>29577787</v>
      </c>
      <c r="T5" s="5">
        <v>34333395</v>
      </c>
      <c r="U5" s="5">
        <v>39971628</v>
      </c>
      <c r="V5" s="5">
        <v>49574147</v>
      </c>
      <c r="W5" s="5">
        <v>69525734</v>
      </c>
      <c r="X5" s="5">
        <v>51019340</v>
      </c>
      <c r="Y5" s="5">
        <v>59346036</v>
      </c>
      <c r="Z5" s="5">
        <v>50695206</v>
      </c>
      <c r="AA5" s="5">
        <v>46744021</v>
      </c>
      <c r="AB5" s="5">
        <v>35159594</v>
      </c>
      <c r="AC5" s="5">
        <v>30035580</v>
      </c>
      <c r="AD5" s="5">
        <v>24590645</v>
      </c>
      <c r="AE5" s="5">
        <v>25337528</v>
      </c>
      <c r="AF5" s="5">
        <v>27740811</v>
      </c>
      <c r="AG5" s="5">
        <v>23835539</v>
      </c>
      <c r="AH5" s="5">
        <v>22421617</v>
      </c>
      <c r="AI5" s="5">
        <v>22173179</v>
      </c>
    </row>
    <row r="6" spans="1:35" x14ac:dyDescent="0.25">
      <c r="A6" s="2" t="s">
        <v>2</v>
      </c>
      <c r="B6" s="2" t="s">
        <v>162</v>
      </c>
      <c r="C6" s="5">
        <v>163009</v>
      </c>
      <c r="D6" s="5">
        <v>423485</v>
      </c>
      <c r="E6" s="5">
        <v>568371</v>
      </c>
      <c r="F6" s="5">
        <v>7968266</v>
      </c>
      <c r="G6" s="5">
        <v>25090483</v>
      </c>
      <c r="H6" s="5">
        <v>11895060</v>
      </c>
      <c r="I6" s="5">
        <v>11349790</v>
      </c>
      <c r="J6" s="5">
        <v>10322323</v>
      </c>
      <c r="K6" s="5">
        <v>11372908</v>
      </c>
      <c r="L6" s="5">
        <v>11859040</v>
      </c>
      <c r="M6" s="5">
        <v>15437583</v>
      </c>
      <c r="N6" s="5">
        <v>14691091</v>
      </c>
      <c r="O6" s="5">
        <v>14253368</v>
      </c>
      <c r="P6" s="5">
        <v>15493309</v>
      </c>
      <c r="Q6" s="5">
        <v>16417988</v>
      </c>
      <c r="R6" s="5">
        <v>18399747</v>
      </c>
      <c r="S6" s="5">
        <v>11211290</v>
      </c>
      <c r="T6" s="5">
        <v>26164305</v>
      </c>
      <c r="U6" s="5">
        <v>24572000</v>
      </c>
      <c r="V6" s="5">
        <v>30744053</v>
      </c>
      <c r="W6" s="5">
        <v>43214528</v>
      </c>
      <c r="X6" s="5">
        <v>50544138</v>
      </c>
      <c r="Y6" s="5">
        <v>56254615</v>
      </c>
      <c r="Z6" s="5">
        <v>65279475</v>
      </c>
      <c r="AA6" s="5">
        <v>66651242</v>
      </c>
      <c r="AB6" s="5">
        <v>44061580</v>
      </c>
      <c r="AC6" s="5">
        <v>35525884</v>
      </c>
      <c r="AD6" s="5">
        <v>20305338</v>
      </c>
      <c r="AE6" s="5">
        <v>15602918</v>
      </c>
      <c r="AF6" s="5">
        <v>18006615</v>
      </c>
      <c r="AG6" s="5">
        <v>18716337</v>
      </c>
      <c r="AH6" s="5">
        <v>19330472</v>
      </c>
      <c r="AI6" s="5">
        <v>20923109</v>
      </c>
    </row>
    <row r="7" spans="1:35" x14ac:dyDescent="0.25">
      <c r="A7" s="2" t="s">
        <v>8</v>
      </c>
      <c r="B7" s="2" t="s">
        <v>86</v>
      </c>
      <c r="C7" s="1"/>
      <c r="D7" s="1"/>
      <c r="E7" s="5">
        <v>272477</v>
      </c>
      <c r="F7" s="5">
        <v>2282931</v>
      </c>
      <c r="G7" s="5">
        <v>11092692</v>
      </c>
      <c r="H7" s="5">
        <v>5454865</v>
      </c>
      <c r="I7" s="5">
        <v>5611474</v>
      </c>
      <c r="J7" s="5">
        <v>6003313</v>
      </c>
      <c r="K7" s="5">
        <v>6756229</v>
      </c>
      <c r="L7" s="5">
        <v>7711744</v>
      </c>
      <c r="M7" s="5">
        <v>12593810</v>
      </c>
      <c r="N7" s="5">
        <v>10985313</v>
      </c>
      <c r="O7" s="5">
        <v>10388198</v>
      </c>
      <c r="P7" s="5">
        <v>11107695</v>
      </c>
      <c r="Q7" s="5">
        <v>12501234</v>
      </c>
      <c r="R7" s="5">
        <v>13126561</v>
      </c>
      <c r="S7" s="5">
        <v>16506584</v>
      </c>
      <c r="T7" s="5">
        <v>21687010</v>
      </c>
      <c r="U7" s="5">
        <v>24101396</v>
      </c>
      <c r="V7" s="5">
        <v>29200041</v>
      </c>
      <c r="W7" s="5">
        <v>38226483</v>
      </c>
      <c r="X7" s="5">
        <v>21086546</v>
      </c>
      <c r="Y7" s="5">
        <v>25277451</v>
      </c>
      <c r="Z7" s="5">
        <v>23238130</v>
      </c>
      <c r="AA7" s="5">
        <v>20418712</v>
      </c>
      <c r="AB7" s="5">
        <v>19907223</v>
      </c>
      <c r="AC7" s="5">
        <v>18696107</v>
      </c>
      <c r="AD7" s="5">
        <v>12441393</v>
      </c>
      <c r="AE7" s="5">
        <v>12016448</v>
      </c>
      <c r="AF7" s="5">
        <v>14187171</v>
      </c>
      <c r="AG7" s="5">
        <v>11757951</v>
      </c>
      <c r="AH7" s="5">
        <v>12056359</v>
      </c>
      <c r="AI7" s="5">
        <v>14060728</v>
      </c>
    </row>
    <row r="8" spans="1:35" x14ac:dyDescent="0.25">
      <c r="A8" s="2" t="s">
        <v>5</v>
      </c>
      <c r="B8" s="2" t="s">
        <v>163</v>
      </c>
      <c r="C8" s="1"/>
      <c r="D8" s="5">
        <v>369758</v>
      </c>
      <c r="E8" s="5">
        <v>459324</v>
      </c>
      <c r="F8" s="5">
        <v>6809157</v>
      </c>
      <c r="G8" s="5">
        <v>19754598</v>
      </c>
      <c r="H8" s="5">
        <v>8802606</v>
      </c>
      <c r="I8" s="5">
        <v>7785252</v>
      </c>
      <c r="J8" s="5">
        <v>7787527</v>
      </c>
      <c r="K8" s="5">
        <v>9509038</v>
      </c>
      <c r="L8" s="5">
        <v>10135543</v>
      </c>
      <c r="M8" s="5">
        <v>13443885</v>
      </c>
      <c r="N8" s="5">
        <v>14673761</v>
      </c>
      <c r="O8" s="5">
        <v>15918940</v>
      </c>
      <c r="P8" s="5">
        <v>16640084</v>
      </c>
      <c r="Q8" s="5">
        <v>18946012</v>
      </c>
      <c r="R8" s="5">
        <v>22307684</v>
      </c>
      <c r="S8" s="5">
        <v>23437261</v>
      </c>
      <c r="T8" s="5">
        <v>28689158</v>
      </c>
      <c r="U8" s="5">
        <v>27888916</v>
      </c>
      <c r="V8" s="5">
        <v>38951976</v>
      </c>
      <c r="W8" s="5">
        <v>47966700</v>
      </c>
      <c r="X8" s="5">
        <v>39802109</v>
      </c>
      <c r="Y8" s="5">
        <v>50395620</v>
      </c>
      <c r="Z8" s="5">
        <v>52083800</v>
      </c>
      <c r="AA8" s="5">
        <v>47963712</v>
      </c>
      <c r="AB8" s="5">
        <v>33921359</v>
      </c>
      <c r="AC8" s="5">
        <v>26532194</v>
      </c>
      <c r="AD8" s="5">
        <v>16397923</v>
      </c>
      <c r="AE8" s="5">
        <v>15047650</v>
      </c>
      <c r="AF8" s="5">
        <v>14521296</v>
      </c>
      <c r="AG8" s="5">
        <v>16082331</v>
      </c>
      <c r="AH8" s="5">
        <v>14413850</v>
      </c>
      <c r="AI8" s="5">
        <v>14004244</v>
      </c>
    </row>
    <row r="9" spans="1:35" x14ac:dyDescent="0.25">
      <c r="A9" s="2" t="s">
        <v>7</v>
      </c>
      <c r="B9" s="2" t="s">
        <v>85</v>
      </c>
      <c r="C9" s="5">
        <v>214322</v>
      </c>
      <c r="D9" s="5">
        <v>525267</v>
      </c>
      <c r="E9" s="5">
        <v>703438</v>
      </c>
      <c r="F9" s="5">
        <v>10638416</v>
      </c>
      <c r="G9" s="5">
        <v>30977333</v>
      </c>
      <c r="H9" s="5">
        <v>15356704</v>
      </c>
      <c r="I9" s="5">
        <v>15657589</v>
      </c>
      <c r="J9" s="5">
        <v>16071543</v>
      </c>
      <c r="K9" s="5">
        <v>18210704</v>
      </c>
      <c r="L9" s="5">
        <v>18570183</v>
      </c>
      <c r="M9" s="5">
        <v>22064059</v>
      </c>
      <c r="N9" s="5">
        <v>35710244</v>
      </c>
      <c r="O9" s="5">
        <v>37189967</v>
      </c>
      <c r="P9" s="5">
        <v>22595494</v>
      </c>
      <c r="Q9" s="5">
        <v>25871498</v>
      </c>
      <c r="R9" s="5">
        <v>31279403</v>
      </c>
      <c r="S9" s="5">
        <v>34773138</v>
      </c>
      <c r="T9" s="5">
        <v>36654584</v>
      </c>
      <c r="U9" s="5">
        <v>36477090</v>
      </c>
      <c r="V9" s="5">
        <v>39570752</v>
      </c>
      <c r="W9" s="5">
        <v>44866629</v>
      </c>
      <c r="X9" s="5">
        <v>41369532</v>
      </c>
      <c r="Y9" s="5">
        <v>39976577</v>
      </c>
      <c r="Z9" s="5">
        <v>41195576</v>
      </c>
      <c r="AA9" s="5">
        <v>36948263</v>
      </c>
      <c r="AB9" s="5">
        <v>31951732</v>
      </c>
      <c r="AC9" s="5">
        <v>27218698</v>
      </c>
      <c r="AD9" s="5">
        <v>16969724</v>
      </c>
      <c r="AE9" s="5">
        <v>16236300</v>
      </c>
      <c r="AF9" s="5">
        <v>16087777</v>
      </c>
      <c r="AG9" s="5">
        <v>14379560</v>
      </c>
      <c r="AH9" s="5">
        <v>12540746</v>
      </c>
      <c r="AI9" s="5">
        <v>12818372</v>
      </c>
    </row>
    <row r="10" spans="1:35" x14ac:dyDescent="0.25">
      <c r="A10" s="2" t="s">
        <v>6</v>
      </c>
      <c r="B10" s="2" t="s">
        <v>84</v>
      </c>
      <c r="C10" s="5">
        <v>96763</v>
      </c>
      <c r="D10" s="5">
        <v>230537</v>
      </c>
      <c r="E10" s="5">
        <v>349761</v>
      </c>
      <c r="F10" s="5">
        <v>5263054</v>
      </c>
      <c r="G10" s="5">
        <v>14430847</v>
      </c>
      <c r="H10" s="5">
        <v>7037716</v>
      </c>
      <c r="I10" s="5">
        <v>6787663</v>
      </c>
      <c r="J10" s="5">
        <v>6506850</v>
      </c>
      <c r="K10" s="5">
        <v>7493273</v>
      </c>
      <c r="L10" s="5">
        <v>7428408</v>
      </c>
      <c r="M10" s="5">
        <v>9515605</v>
      </c>
      <c r="N10" s="5">
        <v>9734497</v>
      </c>
      <c r="O10" s="5">
        <v>9500870</v>
      </c>
      <c r="P10" s="5">
        <v>9232210</v>
      </c>
      <c r="Q10" s="5">
        <v>10655526</v>
      </c>
      <c r="R10" s="5">
        <v>12772432</v>
      </c>
      <c r="S10" s="5">
        <v>13992867</v>
      </c>
      <c r="T10" s="5">
        <v>15701170</v>
      </c>
      <c r="U10" s="5">
        <v>14727505</v>
      </c>
      <c r="V10" s="5">
        <v>18607102</v>
      </c>
      <c r="W10" s="5">
        <v>23292346</v>
      </c>
      <c r="X10" s="5">
        <v>19771029</v>
      </c>
      <c r="Y10" s="5">
        <v>24268664</v>
      </c>
      <c r="Z10" s="5">
        <v>26551098</v>
      </c>
      <c r="AA10" s="5">
        <v>22306331</v>
      </c>
      <c r="AB10" s="5">
        <v>18526881</v>
      </c>
      <c r="AC10" s="5">
        <v>16095135</v>
      </c>
      <c r="AD10" s="5">
        <v>9502630</v>
      </c>
      <c r="AE10" s="5">
        <v>9817686</v>
      </c>
      <c r="AF10" s="5">
        <v>9704432</v>
      </c>
      <c r="AG10" s="5">
        <v>8160562</v>
      </c>
      <c r="AH10" s="5">
        <v>7281227</v>
      </c>
      <c r="AI10" s="5">
        <v>12797934</v>
      </c>
    </row>
    <row r="11" spans="1:35" x14ac:dyDescent="0.25">
      <c r="A11" s="2" t="s">
        <v>9</v>
      </c>
      <c r="B11" s="2" t="s">
        <v>87</v>
      </c>
      <c r="C11" s="5">
        <v>65694</v>
      </c>
      <c r="D11" s="5">
        <v>235314</v>
      </c>
      <c r="E11" s="5">
        <v>193262</v>
      </c>
      <c r="F11" s="5">
        <v>7299542</v>
      </c>
      <c r="G11" s="5">
        <v>23331174</v>
      </c>
      <c r="H11" s="5">
        <v>9922050</v>
      </c>
      <c r="I11" s="5">
        <v>9759655</v>
      </c>
      <c r="J11" s="5">
        <v>9117081</v>
      </c>
      <c r="K11" s="5">
        <v>10303959</v>
      </c>
      <c r="L11" s="5">
        <v>11327529</v>
      </c>
      <c r="M11" s="5">
        <v>14130618</v>
      </c>
      <c r="N11" s="5">
        <v>15031163</v>
      </c>
      <c r="O11" s="5">
        <v>16666904</v>
      </c>
      <c r="P11" s="5">
        <v>18455699</v>
      </c>
      <c r="Q11" s="5">
        <v>19370825</v>
      </c>
      <c r="R11" s="5">
        <v>23142291</v>
      </c>
      <c r="S11" s="5">
        <v>23686080</v>
      </c>
      <c r="T11" s="5">
        <v>30653388</v>
      </c>
      <c r="U11" s="5">
        <v>32515671</v>
      </c>
      <c r="V11" s="5">
        <v>39291143</v>
      </c>
      <c r="W11" s="5">
        <v>44817911</v>
      </c>
      <c r="X11" s="5">
        <v>33275100</v>
      </c>
      <c r="Y11" s="5">
        <v>29065513</v>
      </c>
      <c r="Z11" s="5">
        <v>32163037</v>
      </c>
      <c r="AA11" s="5">
        <v>31042468</v>
      </c>
      <c r="AB11" s="5">
        <v>22744077</v>
      </c>
      <c r="AC11" s="5">
        <v>19184827</v>
      </c>
      <c r="AD11" s="5">
        <v>12896785</v>
      </c>
      <c r="AE11" s="5">
        <v>10938254</v>
      </c>
      <c r="AF11" s="5">
        <v>14063999</v>
      </c>
      <c r="AG11" s="5">
        <v>11534089</v>
      </c>
      <c r="AH11" s="5">
        <v>8889873</v>
      </c>
      <c r="AI11" s="5">
        <v>11665043</v>
      </c>
    </row>
    <row r="12" spans="1:35" x14ac:dyDescent="0.25">
      <c r="A12" s="2" t="s">
        <v>10</v>
      </c>
      <c r="B12" s="2" t="s">
        <v>164</v>
      </c>
      <c r="C12" s="5">
        <v>105846</v>
      </c>
      <c r="D12" s="5">
        <v>335118</v>
      </c>
      <c r="E12" s="5">
        <v>396551</v>
      </c>
      <c r="F12" s="5">
        <v>5640760</v>
      </c>
      <c r="G12" s="5">
        <v>14783614</v>
      </c>
      <c r="H12" s="5">
        <v>6574555</v>
      </c>
      <c r="I12" s="5">
        <v>5940810</v>
      </c>
      <c r="J12" s="5">
        <v>5811196</v>
      </c>
      <c r="K12" s="5">
        <v>7135309</v>
      </c>
      <c r="L12" s="5">
        <v>7654015</v>
      </c>
      <c r="M12" s="5">
        <v>9757962</v>
      </c>
      <c r="N12" s="5">
        <v>11102303</v>
      </c>
      <c r="O12" s="5">
        <v>11775699</v>
      </c>
      <c r="P12" s="5">
        <v>12606562</v>
      </c>
      <c r="Q12" s="5">
        <v>14417037</v>
      </c>
      <c r="R12" s="5">
        <v>16924216</v>
      </c>
      <c r="S12" s="5">
        <v>17690716</v>
      </c>
      <c r="T12" s="5">
        <v>21217164</v>
      </c>
      <c r="U12" s="5">
        <v>21048470</v>
      </c>
      <c r="V12" s="5">
        <v>29673142</v>
      </c>
      <c r="W12" s="5">
        <v>36568779</v>
      </c>
      <c r="X12" s="5">
        <v>29281856</v>
      </c>
      <c r="Y12" s="5">
        <v>39633099</v>
      </c>
      <c r="Z12" s="5">
        <v>40314166</v>
      </c>
      <c r="AA12" s="5">
        <v>36891305</v>
      </c>
      <c r="AB12" s="5">
        <v>24276869</v>
      </c>
      <c r="AC12" s="5">
        <v>18392943</v>
      </c>
      <c r="AD12" s="5">
        <v>11771986</v>
      </c>
      <c r="AE12" s="5">
        <v>10571401</v>
      </c>
      <c r="AF12" s="5">
        <v>10579950</v>
      </c>
      <c r="AG12" s="5">
        <v>11976822</v>
      </c>
      <c r="AH12" s="5">
        <v>10676826</v>
      </c>
      <c r="AI12" s="5">
        <v>10602108</v>
      </c>
    </row>
    <row r="13" spans="1:35" x14ac:dyDescent="0.25">
      <c r="A13" s="2" t="s">
        <v>11</v>
      </c>
      <c r="B13" s="2" t="s">
        <v>89</v>
      </c>
      <c r="C13" s="5">
        <v>149264</v>
      </c>
      <c r="D13" s="5">
        <v>377099</v>
      </c>
      <c r="E13" s="5">
        <v>471153</v>
      </c>
      <c r="F13" s="5">
        <v>6278969</v>
      </c>
      <c r="G13" s="5">
        <v>20242755</v>
      </c>
      <c r="H13" s="5">
        <v>9883817</v>
      </c>
      <c r="I13" s="5">
        <v>9476630</v>
      </c>
      <c r="J13" s="5">
        <v>8846139</v>
      </c>
      <c r="K13" s="5">
        <v>9439228</v>
      </c>
      <c r="L13" s="5">
        <v>10767958</v>
      </c>
      <c r="M13" s="5">
        <v>14082505</v>
      </c>
      <c r="N13" s="5">
        <v>12303154</v>
      </c>
      <c r="O13" s="5">
        <v>12243865</v>
      </c>
      <c r="P13" s="5">
        <v>12166119</v>
      </c>
      <c r="Q13" s="5">
        <v>12137249</v>
      </c>
      <c r="R13" s="5">
        <v>14671842</v>
      </c>
      <c r="S13" s="5">
        <v>18346071</v>
      </c>
      <c r="T13" s="5">
        <v>19809710</v>
      </c>
      <c r="U13" s="5">
        <v>19136137</v>
      </c>
      <c r="V13" s="5">
        <v>25151451</v>
      </c>
      <c r="W13" s="5">
        <v>39597454</v>
      </c>
      <c r="X13" s="5">
        <v>21583545</v>
      </c>
      <c r="Y13" s="5">
        <v>23365337</v>
      </c>
      <c r="Z13" s="5">
        <v>22021409</v>
      </c>
      <c r="AA13" s="5">
        <v>22766598</v>
      </c>
      <c r="AB13" s="5">
        <v>20266183</v>
      </c>
      <c r="AC13" s="5">
        <v>15591229</v>
      </c>
      <c r="AD13" s="5">
        <v>10573878</v>
      </c>
      <c r="AE13" s="5">
        <v>11553272</v>
      </c>
      <c r="AF13" s="5">
        <v>12283600</v>
      </c>
      <c r="AG13" s="5">
        <v>9894549</v>
      </c>
      <c r="AH13" s="5">
        <v>9275678</v>
      </c>
      <c r="AI13" s="5">
        <v>10275562</v>
      </c>
    </row>
    <row r="14" spans="1:35" x14ac:dyDescent="0.25">
      <c r="A14" s="2" t="s">
        <v>12</v>
      </c>
      <c r="B14" s="2" t="s">
        <v>90</v>
      </c>
      <c r="C14" s="5">
        <v>211432</v>
      </c>
      <c r="D14" s="5">
        <v>810441</v>
      </c>
      <c r="E14" s="5">
        <v>805644</v>
      </c>
      <c r="F14" s="5">
        <v>7611580</v>
      </c>
      <c r="G14" s="5">
        <v>19890822</v>
      </c>
      <c r="H14" s="5">
        <v>9858724</v>
      </c>
      <c r="I14" s="5">
        <v>10521720</v>
      </c>
      <c r="J14" s="5">
        <v>10891652</v>
      </c>
      <c r="K14" s="5">
        <v>12371458</v>
      </c>
      <c r="L14" s="5">
        <v>12495508</v>
      </c>
      <c r="M14" s="5">
        <v>15312591</v>
      </c>
      <c r="N14" s="5">
        <v>16233504</v>
      </c>
      <c r="O14" s="5">
        <v>16018095</v>
      </c>
      <c r="P14" s="5">
        <v>14648930</v>
      </c>
      <c r="Q14" s="5">
        <v>15897177</v>
      </c>
      <c r="R14" s="5">
        <v>15686913</v>
      </c>
      <c r="S14" s="5">
        <v>18462406</v>
      </c>
      <c r="T14" s="5">
        <v>19815994</v>
      </c>
      <c r="U14" s="5">
        <v>18786671</v>
      </c>
      <c r="V14" s="5">
        <v>20032202</v>
      </c>
      <c r="W14" s="5">
        <v>23402142</v>
      </c>
      <c r="X14" s="5">
        <v>19140586</v>
      </c>
      <c r="Y14" s="5">
        <v>20578121</v>
      </c>
      <c r="Z14" s="5">
        <v>23114456</v>
      </c>
      <c r="AA14" s="5">
        <v>20787831</v>
      </c>
      <c r="AB14" s="5">
        <v>17530089</v>
      </c>
      <c r="AC14" s="5">
        <v>13686379</v>
      </c>
      <c r="AD14" s="5">
        <v>11254101</v>
      </c>
      <c r="AE14" s="5">
        <v>9525613</v>
      </c>
      <c r="AF14" s="5">
        <v>9182816</v>
      </c>
      <c r="AG14" s="5">
        <v>9644334</v>
      </c>
      <c r="AH14" s="5">
        <v>8575028</v>
      </c>
      <c r="AI14" s="5">
        <v>9295068</v>
      </c>
    </row>
    <row r="15" spans="1:35" x14ac:dyDescent="0.25">
      <c r="A15" s="2" t="s">
        <v>14</v>
      </c>
      <c r="B15" s="2" t="s">
        <v>92</v>
      </c>
      <c r="C15" s="5">
        <v>96305</v>
      </c>
      <c r="D15" s="5">
        <v>291617</v>
      </c>
      <c r="E15" s="5">
        <v>334115</v>
      </c>
      <c r="F15" s="5">
        <v>3227775</v>
      </c>
      <c r="G15" s="5">
        <v>11698264</v>
      </c>
      <c r="H15" s="5">
        <v>5757943</v>
      </c>
      <c r="I15" s="5">
        <v>5715737</v>
      </c>
      <c r="J15" s="5">
        <v>5312986</v>
      </c>
      <c r="K15" s="5">
        <v>5563720</v>
      </c>
      <c r="L15" s="5">
        <v>5797640</v>
      </c>
      <c r="M15" s="5">
        <v>7348020</v>
      </c>
      <c r="N15" s="5">
        <v>6641857</v>
      </c>
      <c r="O15" s="5">
        <v>6577610</v>
      </c>
      <c r="P15" s="5">
        <v>7067710</v>
      </c>
      <c r="Q15" s="5">
        <v>7188821</v>
      </c>
      <c r="R15" s="5">
        <v>8286241</v>
      </c>
      <c r="S15" s="5">
        <v>10889910</v>
      </c>
      <c r="T15" s="5">
        <v>12384686</v>
      </c>
      <c r="U15" s="5">
        <v>12648868</v>
      </c>
      <c r="V15" s="5">
        <v>17553871</v>
      </c>
      <c r="W15" s="5">
        <v>25340371</v>
      </c>
      <c r="X15" s="5">
        <v>17166411</v>
      </c>
      <c r="Y15" s="5">
        <v>21307776</v>
      </c>
      <c r="Z15" s="5">
        <v>21260971</v>
      </c>
      <c r="AA15" s="5">
        <v>21148973</v>
      </c>
      <c r="AB15" s="5">
        <v>16852765</v>
      </c>
      <c r="AC15" s="5">
        <v>12358835</v>
      </c>
      <c r="AD15" s="5">
        <v>8236149</v>
      </c>
      <c r="AE15" s="5">
        <v>8158847</v>
      </c>
      <c r="AF15" s="5">
        <v>9349806</v>
      </c>
      <c r="AG15" s="5">
        <v>8206409</v>
      </c>
      <c r="AH15" s="5">
        <v>7997935</v>
      </c>
      <c r="AI15" s="5">
        <v>9223410</v>
      </c>
    </row>
    <row r="16" spans="1:35" x14ac:dyDescent="0.25">
      <c r="A16" s="2" t="s">
        <v>13</v>
      </c>
      <c r="B16" s="2" t="s">
        <v>91</v>
      </c>
      <c r="C16" s="1"/>
      <c r="D16" s="1"/>
      <c r="E16" s="1"/>
      <c r="F16" s="5">
        <v>5360133</v>
      </c>
      <c r="G16" s="5">
        <v>14470654</v>
      </c>
      <c r="H16" s="5">
        <v>7191548</v>
      </c>
      <c r="I16" s="5">
        <v>6861809</v>
      </c>
      <c r="J16" s="5">
        <v>6803533</v>
      </c>
      <c r="K16" s="5">
        <v>7761384</v>
      </c>
      <c r="L16" s="5">
        <v>8039056</v>
      </c>
      <c r="M16" s="5">
        <v>10783013</v>
      </c>
      <c r="N16" s="5">
        <v>10830804</v>
      </c>
      <c r="O16" s="5">
        <v>10341522</v>
      </c>
      <c r="P16" s="5">
        <v>11225295</v>
      </c>
      <c r="Q16" s="5">
        <v>12271271</v>
      </c>
      <c r="R16" s="5">
        <v>15400508</v>
      </c>
      <c r="S16" s="5">
        <v>15895410</v>
      </c>
      <c r="T16" s="5">
        <v>18716302</v>
      </c>
      <c r="U16" s="5">
        <v>17483608</v>
      </c>
      <c r="V16" s="5">
        <v>21322121</v>
      </c>
      <c r="W16" s="5">
        <v>27513118</v>
      </c>
      <c r="X16" s="5">
        <v>22292776</v>
      </c>
      <c r="Y16" s="5">
        <v>28363348</v>
      </c>
      <c r="Z16" s="5">
        <v>30138168</v>
      </c>
      <c r="AA16" s="5">
        <v>26099656</v>
      </c>
      <c r="AB16" s="5">
        <v>20850338</v>
      </c>
      <c r="AC16" s="5">
        <v>17642138</v>
      </c>
      <c r="AD16" s="5">
        <v>11976869</v>
      </c>
      <c r="AE16" s="5">
        <v>10747560</v>
      </c>
      <c r="AF16" s="5">
        <v>9837804</v>
      </c>
      <c r="AG16" s="5">
        <v>8667216</v>
      </c>
      <c r="AH16" s="5">
        <v>8240383</v>
      </c>
      <c r="AI16" s="5">
        <v>9215672</v>
      </c>
    </row>
    <row r="17" spans="1:35" x14ac:dyDescent="0.25">
      <c r="A17" s="2" t="s">
        <v>15</v>
      </c>
      <c r="B17" s="2" t="s">
        <v>93</v>
      </c>
      <c r="C17" s="5">
        <v>59323</v>
      </c>
      <c r="D17" s="5">
        <v>201516</v>
      </c>
      <c r="E17" s="5">
        <v>126703</v>
      </c>
      <c r="F17" s="1"/>
      <c r="G17" s="1"/>
      <c r="H17" s="1"/>
      <c r="I17" s="1"/>
      <c r="J17" s="5">
        <v>2564815</v>
      </c>
      <c r="K17" s="5">
        <v>3004618</v>
      </c>
      <c r="L17" s="5">
        <v>3101236</v>
      </c>
      <c r="M17" s="5">
        <v>4753513</v>
      </c>
      <c r="N17" s="5">
        <v>4317070</v>
      </c>
      <c r="O17" s="5">
        <v>4234413</v>
      </c>
      <c r="P17" s="5">
        <v>4692083</v>
      </c>
      <c r="Q17" s="5">
        <v>5005005</v>
      </c>
      <c r="R17" s="5">
        <v>5318505</v>
      </c>
      <c r="S17" s="5">
        <v>6785053</v>
      </c>
      <c r="T17" s="5">
        <v>7598822</v>
      </c>
      <c r="U17" s="5">
        <v>8039584</v>
      </c>
      <c r="V17" s="5">
        <v>9036891</v>
      </c>
      <c r="W17" s="5">
        <v>11799514</v>
      </c>
      <c r="X17" s="5">
        <v>12440637</v>
      </c>
      <c r="Y17" s="5">
        <v>11530049</v>
      </c>
      <c r="Z17" s="5">
        <v>11195952</v>
      </c>
      <c r="AA17" s="5">
        <v>10053489</v>
      </c>
      <c r="AB17" s="5">
        <v>7653366</v>
      </c>
      <c r="AC17" s="5">
        <v>4247510</v>
      </c>
      <c r="AD17" s="5">
        <v>6662838</v>
      </c>
      <c r="AE17" s="5">
        <v>5634688</v>
      </c>
      <c r="AF17" s="5">
        <v>10137602</v>
      </c>
      <c r="AG17" s="5">
        <v>7419363</v>
      </c>
      <c r="AH17" s="5">
        <v>6987928</v>
      </c>
      <c r="AI17" s="5">
        <v>8078618</v>
      </c>
    </row>
    <row r="18" spans="1:35" x14ac:dyDescent="0.25">
      <c r="A18" s="2" t="s">
        <v>17</v>
      </c>
      <c r="B18" s="2" t="s">
        <v>95</v>
      </c>
      <c r="C18" s="5">
        <v>172423</v>
      </c>
      <c r="D18" s="5">
        <v>615057</v>
      </c>
      <c r="E18" s="5">
        <v>503194</v>
      </c>
      <c r="F18" s="5">
        <v>6703903</v>
      </c>
      <c r="G18" s="5">
        <v>18325445</v>
      </c>
      <c r="H18" s="5">
        <v>8009931</v>
      </c>
      <c r="I18" s="5">
        <v>7479360</v>
      </c>
      <c r="J18" s="5">
        <v>6836779</v>
      </c>
      <c r="K18" s="5">
        <v>7399897</v>
      </c>
      <c r="L18" s="5">
        <v>7495630</v>
      </c>
      <c r="M18" s="5">
        <v>9361641</v>
      </c>
      <c r="N18" s="5">
        <v>8617452</v>
      </c>
      <c r="O18" s="5">
        <v>8593053</v>
      </c>
      <c r="P18" s="5">
        <v>8709402</v>
      </c>
      <c r="Q18" s="5">
        <v>9379733</v>
      </c>
      <c r="R18" s="5">
        <v>10471723</v>
      </c>
      <c r="S18" s="5">
        <v>11748105</v>
      </c>
      <c r="T18" s="5">
        <v>12831629</v>
      </c>
      <c r="U18" s="5">
        <v>13528062</v>
      </c>
      <c r="V18" s="5">
        <v>14814655</v>
      </c>
      <c r="W18" s="5">
        <v>19450390</v>
      </c>
      <c r="X18" s="5">
        <v>18144545</v>
      </c>
      <c r="Y18" s="5">
        <v>21793085</v>
      </c>
      <c r="Z18" s="5">
        <v>24180521</v>
      </c>
      <c r="AA18" s="5">
        <v>23026443</v>
      </c>
      <c r="AB18" s="5">
        <v>19073611</v>
      </c>
      <c r="AC18" s="5">
        <v>14259262</v>
      </c>
      <c r="AD18" s="5">
        <v>9069729</v>
      </c>
      <c r="AE18" s="5">
        <v>8835236</v>
      </c>
      <c r="AF18" s="5">
        <v>8572411</v>
      </c>
      <c r="AG18" s="5">
        <v>7290657</v>
      </c>
      <c r="AH18" s="5">
        <v>6733986</v>
      </c>
      <c r="AI18" s="5">
        <v>7641729</v>
      </c>
    </row>
    <row r="19" spans="1:35" x14ac:dyDescent="0.25">
      <c r="A19" s="2" t="s">
        <v>18</v>
      </c>
      <c r="B19" s="2" t="s">
        <v>96</v>
      </c>
      <c r="C19" s="5">
        <v>68012</v>
      </c>
      <c r="D19" s="5">
        <v>181899</v>
      </c>
      <c r="E19" s="5">
        <v>320724</v>
      </c>
      <c r="F19" s="5">
        <v>2997981</v>
      </c>
      <c r="G19" s="5">
        <v>9605158</v>
      </c>
      <c r="H19" s="5">
        <v>4447619</v>
      </c>
      <c r="I19" s="5">
        <v>4466625</v>
      </c>
      <c r="J19" s="5">
        <v>4554154</v>
      </c>
      <c r="K19" s="5">
        <v>5309302</v>
      </c>
      <c r="L19" s="5">
        <v>6007914</v>
      </c>
      <c r="M19" s="5">
        <v>8294152</v>
      </c>
      <c r="N19" s="5">
        <v>7468774</v>
      </c>
      <c r="O19" s="5">
        <v>7499235</v>
      </c>
      <c r="P19" s="5">
        <v>7856556</v>
      </c>
      <c r="Q19" s="5">
        <v>8448730</v>
      </c>
      <c r="R19" s="5">
        <v>11157766</v>
      </c>
      <c r="S19" s="5">
        <v>12329522</v>
      </c>
      <c r="T19" s="5">
        <v>12638493</v>
      </c>
      <c r="U19" s="5">
        <v>13071390</v>
      </c>
      <c r="V19" s="5">
        <v>14971653</v>
      </c>
      <c r="W19" s="5">
        <v>22392209</v>
      </c>
      <c r="X19" s="5">
        <v>14616841</v>
      </c>
      <c r="Y19" s="5">
        <v>14875836</v>
      </c>
      <c r="Z19" s="5">
        <v>13946891</v>
      </c>
      <c r="AA19" s="5">
        <v>13052531</v>
      </c>
      <c r="AB19" s="5">
        <v>12137317</v>
      </c>
      <c r="AC19" s="5">
        <v>9454666</v>
      </c>
      <c r="AD19" s="5">
        <v>7332848</v>
      </c>
      <c r="AE19" s="5">
        <v>7402660</v>
      </c>
      <c r="AF19" s="5">
        <v>6784171</v>
      </c>
      <c r="AG19" s="5">
        <v>5766742</v>
      </c>
      <c r="AH19" s="5">
        <v>5459783</v>
      </c>
      <c r="AI19" s="5">
        <v>6579928</v>
      </c>
    </row>
    <row r="20" spans="1:35" x14ac:dyDescent="0.25">
      <c r="A20" s="2" t="s">
        <v>20</v>
      </c>
      <c r="B20" s="2" t="s">
        <v>165</v>
      </c>
      <c r="C20" s="5">
        <v>99490</v>
      </c>
      <c r="D20" s="5">
        <v>374427</v>
      </c>
      <c r="E20" s="5">
        <v>283348</v>
      </c>
      <c r="F20" s="5">
        <v>2204536</v>
      </c>
      <c r="G20" s="5">
        <v>7704060</v>
      </c>
      <c r="H20" s="5">
        <v>3584922</v>
      </c>
      <c r="I20" s="5">
        <v>3327772</v>
      </c>
      <c r="J20" s="5">
        <v>2648291</v>
      </c>
      <c r="K20" s="5">
        <v>3108589</v>
      </c>
      <c r="L20" s="5">
        <v>3461424</v>
      </c>
      <c r="M20" s="5">
        <v>4022522</v>
      </c>
      <c r="N20" s="5">
        <v>4003789</v>
      </c>
      <c r="O20" s="5">
        <v>3958923</v>
      </c>
      <c r="P20" s="5">
        <v>3956426</v>
      </c>
      <c r="Q20" s="5">
        <v>4119516</v>
      </c>
      <c r="R20" s="5">
        <v>4044712</v>
      </c>
      <c r="S20" s="5">
        <v>3985056</v>
      </c>
      <c r="T20" s="5">
        <v>4843088</v>
      </c>
      <c r="U20" s="5">
        <v>4419055</v>
      </c>
      <c r="V20" s="5">
        <v>5440740</v>
      </c>
      <c r="W20" s="5">
        <v>8487483</v>
      </c>
      <c r="X20" s="5">
        <v>7644349</v>
      </c>
      <c r="Y20" s="5">
        <v>6391973</v>
      </c>
      <c r="Z20" s="5">
        <v>6512758</v>
      </c>
      <c r="AA20" s="5">
        <v>8153270</v>
      </c>
      <c r="AB20" s="5">
        <v>5741498</v>
      </c>
      <c r="AC20" s="5">
        <v>4766847</v>
      </c>
      <c r="AD20" s="5">
        <v>3518107</v>
      </c>
      <c r="AE20" s="5">
        <v>4061282</v>
      </c>
      <c r="AF20" s="5">
        <v>5201278</v>
      </c>
      <c r="AG20" s="5">
        <v>5232195</v>
      </c>
      <c r="AH20" s="5">
        <v>5308547</v>
      </c>
      <c r="AI20" s="5">
        <v>6444065</v>
      </c>
    </row>
    <row r="21" spans="1:35" x14ac:dyDescent="0.25">
      <c r="A21" s="2" t="s">
        <v>25</v>
      </c>
      <c r="B21" s="2" t="s">
        <v>103</v>
      </c>
      <c r="C21" s="5">
        <v>63577</v>
      </c>
      <c r="D21" s="1"/>
      <c r="E21" s="5">
        <v>181277</v>
      </c>
      <c r="F21" s="5">
        <v>2966812</v>
      </c>
      <c r="G21" s="5">
        <v>6875679</v>
      </c>
      <c r="H21" s="5">
        <v>3185591</v>
      </c>
      <c r="I21" s="5">
        <v>2961516</v>
      </c>
      <c r="J21" s="5">
        <v>2927883</v>
      </c>
      <c r="K21" s="5">
        <v>3219223</v>
      </c>
      <c r="L21" s="5">
        <v>3287570</v>
      </c>
      <c r="M21" s="5">
        <v>4976478</v>
      </c>
      <c r="N21" s="5">
        <v>5209352</v>
      </c>
      <c r="O21" s="5">
        <v>5117888</v>
      </c>
      <c r="P21" s="5">
        <v>5218861</v>
      </c>
      <c r="Q21" s="5">
        <v>5430869</v>
      </c>
      <c r="R21" s="5">
        <v>5387244</v>
      </c>
      <c r="S21" s="5">
        <v>5867931</v>
      </c>
      <c r="T21" s="5">
        <v>6186214</v>
      </c>
      <c r="U21" s="5">
        <v>6442892</v>
      </c>
      <c r="V21" s="5">
        <v>6964502</v>
      </c>
      <c r="W21" s="5">
        <v>8029805</v>
      </c>
      <c r="X21" s="5">
        <v>8046793</v>
      </c>
      <c r="Y21" s="5">
        <v>9944053</v>
      </c>
      <c r="Z21" s="5">
        <v>9648584</v>
      </c>
      <c r="AA21" s="5">
        <v>10043044</v>
      </c>
      <c r="AB21" s="5">
        <v>8694997</v>
      </c>
      <c r="AC21" s="5">
        <v>8048984</v>
      </c>
      <c r="AD21" s="5">
        <v>6326855</v>
      </c>
      <c r="AE21" s="5">
        <v>5932011</v>
      </c>
      <c r="AF21" s="5">
        <v>5838565</v>
      </c>
      <c r="AG21" s="5">
        <v>5468935</v>
      </c>
      <c r="AH21" s="5">
        <v>5446779</v>
      </c>
      <c r="AI21" s="5">
        <v>5322759</v>
      </c>
    </row>
    <row r="22" spans="1:35" x14ac:dyDescent="0.25">
      <c r="A22" s="2" t="s">
        <v>16</v>
      </c>
      <c r="B22" s="2" t="s">
        <v>94</v>
      </c>
      <c r="C22" s="5">
        <v>246914</v>
      </c>
      <c r="D22" s="5">
        <v>1032000</v>
      </c>
      <c r="E22" s="5">
        <v>560034</v>
      </c>
      <c r="F22" s="5">
        <v>8678174</v>
      </c>
      <c r="G22" s="5">
        <v>27939640</v>
      </c>
      <c r="H22" s="5">
        <v>13368321</v>
      </c>
      <c r="I22" s="5">
        <v>12213430</v>
      </c>
      <c r="J22" s="5">
        <v>11504353</v>
      </c>
      <c r="K22" s="5">
        <v>12175332</v>
      </c>
      <c r="L22" s="5">
        <v>11801508</v>
      </c>
      <c r="M22" s="5">
        <v>14472783</v>
      </c>
      <c r="N22" s="5">
        <v>14234438</v>
      </c>
      <c r="O22" s="5">
        <v>16866052</v>
      </c>
      <c r="P22" s="5">
        <v>16805763</v>
      </c>
      <c r="Q22" s="5">
        <v>17441876</v>
      </c>
      <c r="R22" s="5">
        <v>18410635</v>
      </c>
      <c r="S22" s="5">
        <v>19419980</v>
      </c>
      <c r="T22" s="5">
        <v>20705845</v>
      </c>
      <c r="U22" s="5">
        <v>19375570</v>
      </c>
      <c r="V22" s="5">
        <v>19987604</v>
      </c>
      <c r="W22" s="5">
        <v>22099596</v>
      </c>
      <c r="X22" s="5">
        <v>18105356</v>
      </c>
      <c r="Y22" s="5">
        <v>19346418</v>
      </c>
      <c r="Z22" s="5">
        <v>17309454</v>
      </c>
      <c r="AA22" s="5">
        <v>16481038</v>
      </c>
      <c r="AB22" s="5">
        <v>13704274</v>
      </c>
      <c r="AC22" s="5">
        <v>11055335</v>
      </c>
      <c r="AD22" s="5">
        <v>5562771</v>
      </c>
      <c r="AE22" s="5">
        <v>4547888</v>
      </c>
      <c r="AF22" s="5">
        <v>6108792</v>
      </c>
      <c r="AG22" s="5">
        <v>5858143</v>
      </c>
      <c r="AH22" s="5">
        <v>4160274</v>
      </c>
      <c r="AI22" s="5">
        <v>5280510</v>
      </c>
    </row>
    <row r="23" spans="1:35" x14ac:dyDescent="0.25">
      <c r="A23" s="2" t="s">
        <v>19</v>
      </c>
      <c r="B23" s="2" t="s">
        <v>97</v>
      </c>
      <c r="C23" s="1"/>
      <c r="D23" s="1"/>
      <c r="E23" s="5">
        <v>278911</v>
      </c>
      <c r="F23" s="5">
        <v>4648171</v>
      </c>
      <c r="G23" s="5">
        <v>15862581</v>
      </c>
      <c r="H23" s="5">
        <v>7612787</v>
      </c>
      <c r="I23" s="5">
        <v>6798381</v>
      </c>
      <c r="J23" s="5">
        <v>6393221</v>
      </c>
      <c r="K23" s="5">
        <v>6845546</v>
      </c>
      <c r="L23" s="5">
        <v>7155449</v>
      </c>
      <c r="M23" s="5">
        <v>9831148</v>
      </c>
      <c r="N23" s="5">
        <v>9867845</v>
      </c>
      <c r="O23" s="5">
        <v>11249869</v>
      </c>
      <c r="P23" s="5">
        <v>11253052</v>
      </c>
      <c r="Q23" s="5">
        <v>11544404</v>
      </c>
      <c r="R23" s="5">
        <v>13284942</v>
      </c>
      <c r="S23" s="5">
        <v>14374324</v>
      </c>
      <c r="T23" s="5">
        <v>17375124</v>
      </c>
      <c r="U23" s="5">
        <v>15636028</v>
      </c>
      <c r="V23" s="5">
        <v>16269980</v>
      </c>
      <c r="W23" s="5">
        <v>18431015</v>
      </c>
      <c r="X23" s="5">
        <v>15928382</v>
      </c>
      <c r="Y23" s="5">
        <v>17411360</v>
      </c>
      <c r="Z23" s="5">
        <v>15066090</v>
      </c>
      <c r="AA23" s="5">
        <v>13642943</v>
      </c>
      <c r="AB23" s="5">
        <v>12185125</v>
      </c>
      <c r="AC23" s="5">
        <v>9490122</v>
      </c>
      <c r="AD23" s="5">
        <v>6188253</v>
      </c>
      <c r="AE23" s="5">
        <v>5199182</v>
      </c>
      <c r="AF23" s="5">
        <v>5712915</v>
      </c>
      <c r="AG23" s="5">
        <v>4692540</v>
      </c>
      <c r="AH23" s="5">
        <v>3897878</v>
      </c>
      <c r="AI23" s="5">
        <v>4665528</v>
      </c>
    </row>
    <row r="24" spans="1:35" x14ac:dyDescent="0.25">
      <c r="A24" s="2" t="s">
        <v>22</v>
      </c>
      <c r="B24" s="2" t="s">
        <v>166</v>
      </c>
      <c r="C24" s="1"/>
      <c r="D24" s="1"/>
      <c r="E24" s="1"/>
      <c r="F24" s="1"/>
      <c r="G24" s="5">
        <v>8207842</v>
      </c>
      <c r="H24" s="5">
        <v>3690844</v>
      </c>
      <c r="I24" s="5">
        <v>4022237</v>
      </c>
      <c r="J24" s="5">
        <v>3957681</v>
      </c>
      <c r="K24" s="5">
        <v>3962276</v>
      </c>
      <c r="L24" s="5">
        <v>4113658</v>
      </c>
      <c r="M24" s="5">
        <v>4945148</v>
      </c>
      <c r="N24" s="5">
        <v>5227730</v>
      </c>
      <c r="O24" s="5">
        <v>5156000</v>
      </c>
      <c r="P24" s="5">
        <v>5784870</v>
      </c>
      <c r="Q24" s="5">
        <v>6405110</v>
      </c>
      <c r="R24" s="5">
        <v>7798966</v>
      </c>
      <c r="S24" s="5">
        <v>7699650</v>
      </c>
      <c r="T24" s="5">
        <v>8214314</v>
      </c>
      <c r="U24" s="5">
        <v>8269964</v>
      </c>
      <c r="V24" s="5">
        <v>8621515</v>
      </c>
      <c r="W24" s="5">
        <v>10690936</v>
      </c>
      <c r="X24" s="5">
        <v>9358819</v>
      </c>
      <c r="Y24" s="5">
        <v>9831949</v>
      </c>
      <c r="Z24" s="5">
        <v>9270725</v>
      </c>
      <c r="AA24" s="5">
        <v>8293719</v>
      </c>
      <c r="AB24" s="5">
        <v>7193846</v>
      </c>
      <c r="AC24" s="5">
        <v>6141331</v>
      </c>
      <c r="AD24" s="5">
        <v>4464965</v>
      </c>
      <c r="AE24" s="5">
        <v>4506448</v>
      </c>
      <c r="AF24" s="5">
        <v>4532647</v>
      </c>
      <c r="AG24" s="5">
        <v>4053914</v>
      </c>
      <c r="AH24" s="5">
        <v>3923973</v>
      </c>
      <c r="AI24" s="5">
        <v>4561796</v>
      </c>
    </row>
    <row r="25" spans="1:35" x14ac:dyDescent="0.25">
      <c r="A25" s="2" t="s">
        <v>32</v>
      </c>
      <c r="B25" s="2" t="s">
        <v>110</v>
      </c>
      <c r="C25" s="5">
        <v>119340</v>
      </c>
      <c r="D25" s="5">
        <v>444227</v>
      </c>
      <c r="E25" s="5">
        <v>281108</v>
      </c>
      <c r="F25" s="5">
        <v>1825837</v>
      </c>
      <c r="G25" s="5">
        <v>7136144</v>
      </c>
      <c r="H25" s="5">
        <v>2994039</v>
      </c>
      <c r="I25" s="5">
        <v>2791291</v>
      </c>
      <c r="J25" s="5">
        <v>2436659</v>
      </c>
      <c r="K25" s="5">
        <v>2382032</v>
      </c>
      <c r="L25" s="5">
        <v>2672786</v>
      </c>
      <c r="M25" s="5">
        <v>4463666</v>
      </c>
      <c r="N25" s="5">
        <v>4427866</v>
      </c>
      <c r="O25" s="5">
        <v>4874907</v>
      </c>
      <c r="P25" s="5">
        <v>5223797</v>
      </c>
      <c r="Q25" s="5">
        <v>5291338</v>
      </c>
      <c r="R25" s="5">
        <v>5349334</v>
      </c>
      <c r="S25" s="5">
        <v>5270333</v>
      </c>
      <c r="T25" s="5">
        <v>6045808</v>
      </c>
      <c r="U25" s="5">
        <v>5468288</v>
      </c>
      <c r="V25" s="5">
        <v>6687023</v>
      </c>
      <c r="W25" s="5">
        <v>7412657</v>
      </c>
      <c r="X25" s="5">
        <v>6204925</v>
      </c>
      <c r="Y25" s="5">
        <v>6872378</v>
      </c>
      <c r="Z25" s="5">
        <v>6577504</v>
      </c>
      <c r="AA25" s="5">
        <v>6539683</v>
      </c>
      <c r="AB25" s="5">
        <v>4176754</v>
      </c>
      <c r="AC25" s="5">
        <v>4483833</v>
      </c>
      <c r="AD25" s="5">
        <v>2904607</v>
      </c>
      <c r="AE25" s="5">
        <v>3542787</v>
      </c>
      <c r="AF25" s="5">
        <v>4223159</v>
      </c>
      <c r="AG25" s="5">
        <v>4342743</v>
      </c>
      <c r="AH25" s="5">
        <v>4104729</v>
      </c>
      <c r="AI25" s="5">
        <v>4504146</v>
      </c>
    </row>
    <row r="26" spans="1:35" x14ac:dyDescent="0.25">
      <c r="A26" s="2" t="s">
        <v>27</v>
      </c>
      <c r="B26" s="2" t="s">
        <v>105</v>
      </c>
      <c r="C26" s="5">
        <v>103952</v>
      </c>
      <c r="D26" s="5">
        <v>215760</v>
      </c>
      <c r="E26" s="5">
        <v>443354</v>
      </c>
      <c r="F26" s="5">
        <v>3418448</v>
      </c>
      <c r="G26" s="5">
        <v>7199734</v>
      </c>
      <c r="H26" s="5">
        <v>3181958</v>
      </c>
      <c r="I26" s="5">
        <v>3198568</v>
      </c>
      <c r="J26" s="5">
        <v>3474309</v>
      </c>
      <c r="K26" s="5">
        <v>4196908</v>
      </c>
      <c r="L26" s="5">
        <v>4393228</v>
      </c>
      <c r="M26" s="5">
        <v>5373153</v>
      </c>
      <c r="N26" s="5">
        <v>5844540</v>
      </c>
      <c r="O26" s="5">
        <v>5710514</v>
      </c>
      <c r="P26" s="5">
        <v>6157723</v>
      </c>
      <c r="Q26" s="5">
        <v>6037706</v>
      </c>
      <c r="R26" s="5">
        <v>6497804</v>
      </c>
      <c r="S26" s="5">
        <v>6775190</v>
      </c>
      <c r="T26" s="5">
        <v>6754956</v>
      </c>
      <c r="U26" s="5">
        <v>6871370</v>
      </c>
      <c r="V26" s="5">
        <v>8726578</v>
      </c>
      <c r="W26" s="5">
        <v>9956823</v>
      </c>
      <c r="X26" s="5">
        <v>8988064</v>
      </c>
      <c r="Y26" s="5">
        <v>10138322</v>
      </c>
      <c r="Z26" s="5">
        <v>10755100</v>
      </c>
      <c r="AA26" s="5">
        <v>9690058</v>
      </c>
      <c r="AB26" s="5">
        <v>8442921</v>
      </c>
      <c r="AC26" s="5">
        <v>7707141</v>
      </c>
      <c r="AD26" s="5">
        <v>5813902</v>
      </c>
      <c r="AE26" s="5">
        <v>4827360</v>
      </c>
      <c r="AF26" s="5">
        <v>4789062</v>
      </c>
      <c r="AG26" s="5">
        <v>4357046</v>
      </c>
      <c r="AH26" s="5">
        <v>3698621</v>
      </c>
      <c r="AI26" s="5">
        <v>4083434</v>
      </c>
    </row>
    <row r="27" spans="1:35" x14ac:dyDescent="0.25">
      <c r="A27" s="2" t="s">
        <v>29</v>
      </c>
      <c r="B27" s="2" t="s">
        <v>107</v>
      </c>
      <c r="C27" s="5">
        <v>96096</v>
      </c>
      <c r="D27" s="5">
        <v>179731</v>
      </c>
      <c r="E27" s="5">
        <v>267202</v>
      </c>
      <c r="F27" s="5">
        <v>2474775</v>
      </c>
      <c r="G27" s="5">
        <v>7282293</v>
      </c>
      <c r="H27" s="5">
        <v>3367639</v>
      </c>
      <c r="I27" s="5">
        <v>3460373</v>
      </c>
      <c r="J27" s="5">
        <v>4008639</v>
      </c>
      <c r="K27" s="5">
        <v>3975273</v>
      </c>
      <c r="L27" s="5">
        <v>3850336</v>
      </c>
      <c r="M27" s="5">
        <v>4457371</v>
      </c>
      <c r="N27" s="5">
        <v>4322848</v>
      </c>
      <c r="O27" s="5">
        <v>4804024</v>
      </c>
      <c r="P27" s="5">
        <v>5414323</v>
      </c>
      <c r="Q27" s="5">
        <v>6274920</v>
      </c>
      <c r="R27" s="5">
        <v>6465881</v>
      </c>
      <c r="S27" s="5">
        <v>7733791</v>
      </c>
      <c r="T27" s="5">
        <v>8294099</v>
      </c>
      <c r="U27" s="5">
        <v>7238674</v>
      </c>
      <c r="V27" s="5">
        <v>8544363</v>
      </c>
      <c r="W27" s="5">
        <v>12177644</v>
      </c>
      <c r="X27" s="5">
        <v>9356495</v>
      </c>
      <c r="Y27" s="5">
        <v>11215353</v>
      </c>
      <c r="Z27" s="5">
        <v>10931683</v>
      </c>
      <c r="AA27" s="5">
        <v>9351081</v>
      </c>
      <c r="AB27" s="5">
        <v>6571036</v>
      </c>
      <c r="AC27" s="5">
        <v>6048848</v>
      </c>
      <c r="AD27" s="5">
        <v>3432212</v>
      </c>
      <c r="AE27" s="5">
        <v>2964637</v>
      </c>
      <c r="AF27" s="5">
        <v>3719724</v>
      </c>
      <c r="AG27" s="5">
        <v>3331629</v>
      </c>
      <c r="AH27" s="5">
        <v>3301626</v>
      </c>
      <c r="AI27" s="5">
        <v>3933811</v>
      </c>
    </row>
    <row r="28" spans="1:35" x14ac:dyDescent="0.25">
      <c r="A28" s="2" t="s">
        <v>28</v>
      </c>
      <c r="B28" s="2" t="s">
        <v>106</v>
      </c>
      <c r="C28" s="5">
        <v>79449</v>
      </c>
      <c r="D28" s="5">
        <v>182653</v>
      </c>
      <c r="E28" s="5">
        <v>205098</v>
      </c>
      <c r="F28" s="5">
        <v>2223169</v>
      </c>
      <c r="G28" s="5">
        <v>7896664</v>
      </c>
      <c r="H28" s="5">
        <v>3778289</v>
      </c>
      <c r="I28" s="5">
        <v>3878292</v>
      </c>
      <c r="J28" s="5">
        <v>3898844</v>
      </c>
      <c r="K28" s="5">
        <v>4101959</v>
      </c>
      <c r="L28" s="5">
        <v>4848612</v>
      </c>
      <c r="M28" s="5">
        <v>5985182</v>
      </c>
      <c r="N28" s="5">
        <v>5492354</v>
      </c>
      <c r="O28" s="5">
        <v>5583187</v>
      </c>
      <c r="P28" s="5">
        <v>5881406</v>
      </c>
      <c r="Q28" s="5">
        <v>6522611</v>
      </c>
      <c r="R28" s="5">
        <v>6546484</v>
      </c>
      <c r="S28" s="5">
        <v>6978149</v>
      </c>
      <c r="T28" s="5">
        <v>8400016</v>
      </c>
      <c r="U28" s="5">
        <v>8204331</v>
      </c>
      <c r="V28" s="5">
        <v>8703923</v>
      </c>
      <c r="W28" s="5">
        <v>9546311</v>
      </c>
      <c r="X28" s="5">
        <v>8036281</v>
      </c>
      <c r="Y28" s="5">
        <v>7874559</v>
      </c>
      <c r="Z28" s="5">
        <v>7086532</v>
      </c>
      <c r="AA28" s="5">
        <v>6643468</v>
      </c>
      <c r="AB28" s="5">
        <v>6368160</v>
      </c>
      <c r="AC28" s="5">
        <v>5269660</v>
      </c>
      <c r="AD28" s="5">
        <v>3312752</v>
      </c>
      <c r="AE28" s="5">
        <v>3120409</v>
      </c>
      <c r="AF28" s="5">
        <v>4035242</v>
      </c>
      <c r="AG28" s="5">
        <v>3426395</v>
      </c>
      <c r="AH28" s="5">
        <v>3250444</v>
      </c>
      <c r="AI28" s="5">
        <v>3863301</v>
      </c>
    </row>
    <row r="29" spans="1:35" x14ac:dyDescent="0.25">
      <c r="A29" s="2" t="s">
        <v>23</v>
      </c>
      <c r="B29" s="2" t="s">
        <v>101</v>
      </c>
      <c r="C29" s="1"/>
      <c r="D29" s="5">
        <v>142204</v>
      </c>
      <c r="E29" s="5">
        <v>185910</v>
      </c>
      <c r="F29" s="5">
        <v>1479128</v>
      </c>
      <c r="G29" s="1"/>
      <c r="H29" s="1"/>
      <c r="I29" s="1"/>
      <c r="J29" s="5">
        <v>2034430</v>
      </c>
      <c r="K29" s="5">
        <v>2401729</v>
      </c>
      <c r="L29" s="5">
        <v>2591105</v>
      </c>
      <c r="M29" s="5">
        <v>3061922</v>
      </c>
      <c r="N29" s="5">
        <v>3087526</v>
      </c>
      <c r="O29" s="5">
        <v>2832008</v>
      </c>
      <c r="P29" s="5">
        <v>2715665</v>
      </c>
      <c r="Q29" s="5">
        <v>3187803</v>
      </c>
      <c r="R29" s="5">
        <v>3910758</v>
      </c>
      <c r="S29" s="5">
        <v>4216286</v>
      </c>
      <c r="T29" s="5">
        <v>4724835</v>
      </c>
      <c r="U29" s="5">
        <v>4766622</v>
      </c>
      <c r="V29" s="5">
        <v>6649988</v>
      </c>
      <c r="W29" s="5">
        <v>9574042</v>
      </c>
      <c r="X29" s="5">
        <v>8273365</v>
      </c>
      <c r="Y29" s="5">
        <v>7965936</v>
      </c>
      <c r="Z29" s="5">
        <v>7039856</v>
      </c>
      <c r="AA29" s="5">
        <v>5139599</v>
      </c>
      <c r="AB29" s="5">
        <v>5762222</v>
      </c>
      <c r="AC29" s="5">
        <v>5233685</v>
      </c>
      <c r="AD29" s="5">
        <v>3775608</v>
      </c>
      <c r="AE29" s="5">
        <v>3248388</v>
      </c>
      <c r="AF29" s="5">
        <v>4817436</v>
      </c>
      <c r="AG29" s="5">
        <v>3780766</v>
      </c>
      <c r="AH29" s="5">
        <v>3263337</v>
      </c>
      <c r="AI29" s="5">
        <v>3840479</v>
      </c>
    </row>
    <row r="30" spans="1:35" x14ac:dyDescent="0.25">
      <c r="A30" s="2" t="s">
        <v>35</v>
      </c>
      <c r="B30" s="2" t="s">
        <v>113</v>
      </c>
      <c r="C30" s="5">
        <v>51811</v>
      </c>
      <c r="D30" s="5">
        <v>147456</v>
      </c>
      <c r="E30" s="5">
        <v>257270</v>
      </c>
      <c r="F30" s="5">
        <v>2009294</v>
      </c>
      <c r="G30" s="5">
        <v>4496278</v>
      </c>
      <c r="H30" s="5">
        <v>2104660</v>
      </c>
      <c r="I30" s="5">
        <v>2110455</v>
      </c>
      <c r="J30" s="5">
        <v>2198824</v>
      </c>
      <c r="K30" s="5">
        <v>2391285</v>
      </c>
      <c r="L30" s="5">
        <v>2879588</v>
      </c>
      <c r="M30" s="5">
        <v>4027939</v>
      </c>
      <c r="N30" s="5">
        <v>3577500</v>
      </c>
      <c r="O30" s="5">
        <v>3566950</v>
      </c>
      <c r="P30" s="5">
        <v>3766185</v>
      </c>
      <c r="Q30" s="5">
        <v>3784491</v>
      </c>
      <c r="R30" s="5">
        <v>4520706</v>
      </c>
      <c r="S30" s="5">
        <v>5403260</v>
      </c>
      <c r="T30" s="5">
        <v>5745247</v>
      </c>
      <c r="U30" s="5">
        <v>5709727</v>
      </c>
      <c r="V30" s="5">
        <v>7692829</v>
      </c>
      <c r="W30" s="5">
        <v>9808902</v>
      </c>
      <c r="X30" s="5">
        <v>8098416</v>
      </c>
      <c r="Y30" s="5">
        <v>7734459</v>
      </c>
      <c r="Z30" s="5">
        <v>7752998</v>
      </c>
      <c r="AA30" s="5">
        <v>6320444</v>
      </c>
      <c r="AB30" s="5">
        <v>5264816</v>
      </c>
      <c r="AC30" s="5">
        <v>4082761</v>
      </c>
      <c r="AD30" s="5">
        <v>3287168</v>
      </c>
      <c r="AE30" s="5">
        <v>3501361</v>
      </c>
      <c r="AF30" s="5">
        <v>3454902</v>
      </c>
      <c r="AG30" s="5">
        <v>3187352</v>
      </c>
      <c r="AH30" s="5">
        <v>2882159</v>
      </c>
      <c r="AI30" s="5">
        <v>3513264</v>
      </c>
    </row>
    <row r="31" spans="1:35" x14ac:dyDescent="0.25">
      <c r="A31" s="2" t="s">
        <v>31</v>
      </c>
      <c r="B31" s="2" t="s">
        <v>109</v>
      </c>
      <c r="C31" s="5">
        <v>45454</v>
      </c>
      <c r="D31" s="5">
        <v>233152</v>
      </c>
      <c r="E31" s="5">
        <v>203131</v>
      </c>
      <c r="F31" s="5">
        <v>2592037</v>
      </c>
      <c r="G31" s="5">
        <v>5539725</v>
      </c>
      <c r="H31" s="5">
        <v>2769549</v>
      </c>
      <c r="I31" s="5">
        <v>3103058</v>
      </c>
      <c r="J31" s="5">
        <v>3115081</v>
      </c>
      <c r="K31" s="5">
        <v>3783034</v>
      </c>
      <c r="L31" s="5">
        <v>4058053</v>
      </c>
      <c r="M31" s="5">
        <v>5038976</v>
      </c>
      <c r="N31" s="5">
        <v>5422662</v>
      </c>
      <c r="O31" s="5">
        <v>5417485</v>
      </c>
      <c r="P31" s="5">
        <v>5835733</v>
      </c>
      <c r="Q31" s="5">
        <v>5985568</v>
      </c>
      <c r="R31" s="5">
        <v>6173486</v>
      </c>
      <c r="S31" s="5">
        <v>7561256</v>
      </c>
      <c r="T31" s="5">
        <v>8703083</v>
      </c>
      <c r="U31" s="5">
        <v>8874173</v>
      </c>
      <c r="V31" s="5">
        <v>9527422</v>
      </c>
      <c r="W31" s="5">
        <v>12660737</v>
      </c>
      <c r="X31" s="5">
        <v>12768175</v>
      </c>
      <c r="Y31" s="5">
        <v>12055854</v>
      </c>
      <c r="Z31" s="5">
        <v>13603842</v>
      </c>
      <c r="AA31" s="5">
        <v>11994751</v>
      </c>
      <c r="AB31" s="5">
        <v>9452612</v>
      </c>
      <c r="AC31" s="5">
        <v>7581290</v>
      </c>
      <c r="AD31" s="5">
        <v>4950322</v>
      </c>
      <c r="AE31" s="5">
        <v>3698153</v>
      </c>
      <c r="AF31" s="5">
        <v>3284815</v>
      </c>
      <c r="AG31" s="5">
        <v>2547927</v>
      </c>
      <c r="AH31" s="5">
        <v>2765286</v>
      </c>
      <c r="AI31" s="5">
        <v>3440321</v>
      </c>
    </row>
    <row r="32" spans="1:35" x14ac:dyDescent="0.25">
      <c r="A32" s="2" t="s">
        <v>21</v>
      </c>
      <c r="B32" s="2" t="s">
        <v>99</v>
      </c>
      <c r="C32" s="5">
        <v>63339</v>
      </c>
      <c r="D32" s="5">
        <v>172450</v>
      </c>
      <c r="E32" s="5">
        <v>253920</v>
      </c>
      <c r="F32" s="5">
        <v>2874421</v>
      </c>
      <c r="G32" s="5">
        <v>7786408</v>
      </c>
      <c r="H32" s="5">
        <v>3962900</v>
      </c>
      <c r="I32" s="5">
        <v>3959381</v>
      </c>
      <c r="J32" s="5">
        <v>4431545</v>
      </c>
      <c r="K32" s="5">
        <v>5278194</v>
      </c>
      <c r="L32" s="5">
        <v>5743816</v>
      </c>
      <c r="M32" s="5">
        <v>7332174</v>
      </c>
      <c r="N32" s="5">
        <v>7734285</v>
      </c>
      <c r="O32" s="5">
        <v>7082387</v>
      </c>
      <c r="P32" s="5">
        <v>6705515</v>
      </c>
      <c r="Q32" s="5">
        <v>7777583</v>
      </c>
      <c r="R32" s="5">
        <v>9479711</v>
      </c>
      <c r="S32" s="5">
        <v>10650117</v>
      </c>
      <c r="T32" s="5">
        <v>10469669</v>
      </c>
      <c r="U32" s="5">
        <v>10349249</v>
      </c>
      <c r="V32" s="5">
        <v>15330343</v>
      </c>
      <c r="W32" s="5">
        <v>22407802</v>
      </c>
      <c r="X32" s="5">
        <v>19732175</v>
      </c>
      <c r="Y32" s="5">
        <v>14752691</v>
      </c>
      <c r="Z32" s="5">
        <v>12473953</v>
      </c>
      <c r="AA32" s="5">
        <v>9663015</v>
      </c>
      <c r="AB32" s="5">
        <v>9253359</v>
      </c>
      <c r="AC32" s="5">
        <v>6967729</v>
      </c>
      <c r="AD32" s="5">
        <v>4729623</v>
      </c>
      <c r="AE32" s="5">
        <v>3888716</v>
      </c>
      <c r="AF32" s="5">
        <v>5187259</v>
      </c>
      <c r="AG32" s="5">
        <v>4314579</v>
      </c>
      <c r="AH32" s="5">
        <v>3183281</v>
      </c>
      <c r="AI32" s="5">
        <v>3344601</v>
      </c>
    </row>
    <row r="33" spans="1:35" x14ac:dyDescent="0.25">
      <c r="A33" s="2" t="s">
        <v>24</v>
      </c>
      <c r="B33" s="2" t="s">
        <v>102</v>
      </c>
      <c r="C33" s="1"/>
      <c r="D33" s="1"/>
      <c r="E33" s="5">
        <v>136866</v>
      </c>
      <c r="F33" s="5">
        <v>1308653</v>
      </c>
      <c r="G33" s="5">
        <v>4688674</v>
      </c>
      <c r="H33" s="5">
        <v>2169278</v>
      </c>
      <c r="I33" s="5">
        <v>1923568</v>
      </c>
      <c r="J33" s="5">
        <v>1555178</v>
      </c>
      <c r="K33" s="5">
        <v>1774321</v>
      </c>
      <c r="L33" s="5">
        <v>1668668</v>
      </c>
      <c r="M33" s="5">
        <v>1996338</v>
      </c>
      <c r="N33" s="5">
        <v>2148266</v>
      </c>
      <c r="O33" s="5">
        <v>2453046</v>
      </c>
      <c r="P33" s="5">
        <v>2963071</v>
      </c>
      <c r="Q33" s="5">
        <v>3098698</v>
      </c>
      <c r="R33" s="5">
        <v>4023890</v>
      </c>
      <c r="S33" s="5">
        <v>4248281</v>
      </c>
      <c r="T33" s="5">
        <v>5163395</v>
      </c>
      <c r="U33" s="5">
        <v>4978803</v>
      </c>
      <c r="V33" s="5">
        <v>6378322</v>
      </c>
      <c r="W33" s="5">
        <v>8019883</v>
      </c>
      <c r="X33" s="5">
        <v>9767140</v>
      </c>
      <c r="Y33" s="5">
        <v>13831689</v>
      </c>
      <c r="Z33" s="5">
        <v>15750282</v>
      </c>
      <c r="AA33" s="5">
        <v>14456965</v>
      </c>
      <c r="AB33" s="5">
        <v>10031919</v>
      </c>
      <c r="AC33" s="5">
        <v>5945061</v>
      </c>
      <c r="AD33" s="5">
        <v>3552714</v>
      </c>
      <c r="AE33" s="5">
        <v>2969510</v>
      </c>
      <c r="AF33" s="5">
        <v>3258339</v>
      </c>
      <c r="AG33" s="5">
        <v>3731648</v>
      </c>
      <c r="AH33" s="5">
        <v>3185671</v>
      </c>
      <c r="AI33" s="5">
        <v>3330408</v>
      </c>
    </row>
    <row r="34" spans="1:35" x14ac:dyDescent="0.25">
      <c r="A34" s="2" t="s">
        <v>30</v>
      </c>
      <c r="B34" s="2" t="s">
        <v>108</v>
      </c>
      <c r="C34" s="5">
        <v>52494</v>
      </c>
      <c r="D34" s="5">
        <v>153162</v>
      </c>
      <c r="E34" s="5">
        <v>137930</v>
      </c>
      <c r="F34" s="5">
        <v>2174048</v>
      </c>
      <c r="G34" s="5">
        <v>6031105</v>
      </c>
      <c r="H34" s="5">
        <v>2915136</v>
      </c>
      <c r="I34" s="5">
        <v>3049207</v>
      </c>
      <c r="J34" s="5">
        <v>3060880</v>
      </c>
      <c r="K34" s="5">
        <v>3177040</v>
      </c>
      <c r="L34" s="5">
        <v>3399575</v>
      </c>
      <c r="M34" s="5">
        <v>4449467</v>
      </c>
      <c r="N34" s="5">
        <v>4602283</v>
      </c>
      <c r="O34" s="5">
        <v>4459319</v>
      </c>
      <c r="P34" s="5">
        <v>4407321</v>
      </c>
      <c r="Q34" s="5">
        <v>4478827</v>
      </c>
      <c r="R34" s="5">
        <v>5214060</v>
      </c>
      <c r="S34" s="5">
        <v>5592798</v>
      </c>
      <c r="T34" s="5">
        <v>5740543</v>
      </c>
      <c r="U34" s="5">
        <v>5324737</v>
      </c>
      <c r="V34" s="5">
        <v>5857738</v>
      </c>
      <c r="W34" s="5">
        <v>6189695</v>
      </c>
      <c r="X34" s="5">
        <v>6327073</v>
      </c>
      <c r="Y34" s="5">
        <v>7742833</v>
      </c>
      <c r="Z34" s="5">
        <v>8378523</v>
      </c>
      <c r="AA34" s="5">
        <v>8236172</v>
      </c>
      <c r="AB34" s="5">
        <v>7136961</v>
      </c>
      <c r="AC34" s="5">
        <v>5929054</v>
      </c>
      <c r="AD34" s="5">
        <v>3672740</v>
      </c>
      <c r="AE34" s="5">
        <v>3942211</v>
      </c>
      <c r="AF34" s="5">
        <v>4260533</v>
      </c>
      <c r="AG34" s="5">
        <v>3867331</v>
      </c>
      <c r="AH34" s="5">
        <v>3088858</v>
      </c>
      <c r="AI34" s="5">
        <v>3329283</v>
      </c>
    </row>
    <row r="35" spans="1:35" x14ac:dyDescent="0.25">
      <c r="A35" s="2" t="s">
        <v>33</v>
      </c>
      <c r="B35" s="2" t="s">
        <v>111</v>
      </c>
      <c r="C35" s="5">
        <v>151471</v>
      </c>
      <c r="D35" s="5">
        <v>597784</v>
      </c>
      <c r="E35" s="5">
        <v>439575</v>
      </c>
      <c r="F35" s="5">
        <v>6303334</v>
      </c>
      <c r="G35" s="5">
        <v>20069904</v>
      </c>
      <c r="H35" s="5">
        <v>9195108</v>
      </c>
      <c r="I35" s="5">
        <v>9171708</v>
      </c>
      <c r="J35" s="5">
        <v>9580360</v>
      </c>
      <c r="K35" s="5">
        <v>10187912</v>
      </c>
      <c r="L35" s="5">
        <v>10601792</v>
      </c>
      <c r="M35" s="5">
        <v>13116195</v>
      </c>
      <c r="N35" s="5">
        <v>13679571</v>
      </c>
      <c r="O35" s="5">
        <v>13857758</v>
      </c>
      <c r="P35" s="5">
        <v>13188851</v>
      </c>
      <c r="Q35" s="5">
        <v>13633392</v>
      </c>
      <c r="R35" s="5">
        <v>17106928</v>
      </c>
      <c r="S35" s="5">
        <v>17647388</v>
      </c>
      <c r="T35" s="5">
        <v>16861656</v>
      </c>
      <c r="U35" s="5">
        <v>16593411</v>
      </c>
      <c r="V35" s="5">
        <v>16992825</v>
      </c>
      <c r="W35" s="5">
        <v>19330166</v>
      </c>
      <c r="X35" s="5">
        <v>17195602</v>
      </c>
      <c r="Y35" s="5">
        <v>17866905</v>
      </c>
      <c r="Z35" s="5">
        <v>18915359</v>
      </c>
      <c r="AA35" s="5">
        <v>16694928</v>
      </c>
      <c r="AB35" s="5">
        <v>12031905</v>
      </c>
      <c r="AC35" s="5">
        <v>9998053</v>
      </c>
      <c r="AD35" s="5">
        <v>4100514</v>
      </c>
      <c r="AE35" s="5">
        <v>3719737</v>
      </c>
      <c r="AF35" s="5">
        <v>4827108</v>
      </c>
      <c r="AG35" s="5">
        <v>3997189</v>
      </c>
      <c r="AH35" s="5">
        <v>2698848</v>
      </c>
      <c r="AI35" s="5">
        <v>3082700</v>
      </c>
    </row>
    <row r="36" spans="1:35" x14ac:dyDescent="0.25">
      <c r="A36" s="2" t="s">
        <v>40</v>
      </c>
      <c r="B36" s="2" t="s">
        <v>118</v>
      </c>
      <c r="C36" s="5">
        <v>241714</v>
      </c>
      <c r="D36" s="5">
        <v>893688</v>
      </c>
      <c r="E36" s="5">
        <v>597737</v>
      </c>
      <c r="F36" s="5">
        <v>4017081</v>
      </c>
      <c r="G36" s="5">
        <v>7603045</v>
      </c>
      <c r="H36" s="5">
        <v>3502113</v>
      </c>
      <c r="I36" s="5">
        <v>3203422</v>
      </c>
      <c r="J36" s="5">
        <v>3735525</v>
      </c>
      <c r="K36" s="5">
        <v>3961184</v>
      </c>
      <c r="L36" s="5">
        <v>4193244</v>
      </c>
      <c r="M36" s="5">
        <v>5095732</v>
      </c>
      <c r="N36" s="5">
        <v>4557886</v>
      </c>
      <c r="O36" s="5">
        <v>4615199</v>
      </c>
      <c r="P36" s="5">
        <v>4681260</v>
      </c>
      <c r="Q36" s="5">
        <v>5169805</v>
      </c>
      <c r="R36" s="5">
        <v>5865767</v>
      </c>
      <c r="S36" s="5">
        <v>6492288</v>
      </c>
      <c r="T36" s="5">
        <v>7282266</v>
      </c>
      <c r="U36" s="5">
        <v>6981074</v>
      </c>
      <c r="V36" s="5">
        <v>6897825</v>
      </c>
      <c r="W36" s="5">
        <v>7941000</v>
      </c>
      <c r="X36" s="5">
        <v>6440356</v>
      </c>
      <c r="Y36" s="5">
        <v>5963919</v>
      </c>
      <c r="Z36" s="5">
        <v>5999307</v>
      </c>
      <c r="AA36" s="5">
        <v>5573609</v>
      </c>
      <c r="AB36" s="5">
        <v>4860300</v>
      </c>
      <c r="AC36" s="5">
        <v>4338217</v>
      </c>
      <c r="AD36" s="5">
        <v>3706036</v>
      </c>
      <c r="AE36" s="5">
        <v>3444512</v>
      </c>
      <c r="AF36" s="5">
        <v>3811946</v>
      </c>
      <c r="AG36" s="5">
        <v>3330789</v>
      </c>
      <c r="AH36" s="5">
        <v>2661852</v>
      </c>
      <c r="AI36" s="5">
        <v>3025465</v>
      </c>
    </row>
    <row r="37" spans="1:35" x14ac:dyDescent="0.25">
      <c r="A37" s="2" t="s">
        <v>36</v>
      </c>
      <c r="B37" s="2" t="s">
        <v>114</v>
      </c>
      <c r="C37" s="5">
        <v>85191</v>
      </c>
      <c r="D37" s="5">
        <v>270341</v>
      </c>
      <c r="E37" s="5">
        <v>193993</v>
      </c>
      <c r="F37" s="5">
        <v>3651551</v>
      </c>
      <c r="G37" s="5">
        <v>9718877</v>
      </c>
      <c r="H37" s="5">
        <v>4521193</v>
      </c>
      <c r="I37" s="5">
        <v>4485418</v>
      </c>
      <c r="J37" s="5">
        <v>4392338</v>
      </c>
      <c r="K37" s="5">
        <v>4624465</v>
      </c>
      <c r="L37" s="5">
        <v>4939090</v>
      </c>
      <c r="M37" s="5">
        <v>6211094</v>
      </c>
      <c r="N37" s="5">
        <v>6237747</v>
      </c>
      <c r="O37" s="5">
        <v>6044157</v>
      </c>
      <c r="P37" s="5">
        <v>5681600</v>
      </c>
      <c r="Q37" s="5">
        <v>6119522</v>
      </c>
      <c r="R37" s="5">
        <v>6778699</v>
      </c>
      <c r="S37" s="5">
        <v>7388315</v>
      </c>
      <c r="T37" s="5">
        <v>8727752</v>
      </c>
      <c r="U37" s="5">
        <v>8167170</v>
      </c>
      <c r="V37" s="5">
        <v>8600086</v>
      </c>
      <c r="W37" s="5">
        <v>9172674</v>
      </c>
      <c r="X37" s="5">
        <v>8351897</v>
      </c>
      <c r="Y37" s="5">
        <v>6944534</v>
      </c>
      <c r="Z37" s="5">
        <v>6825548</v>
      </c>
      <c r="AA37" s="5">
        <v>6236857</v>
      </c>
      <c r="AB37" s="5">
        <v>5735480</v>
      </c>
      <c r="AC37" s="5">
        <v>4439300</v>
      </c>
      <c r="AD37" s="5">
        <v>3313688</v>
      </c>
      <c r="AE37" s="5">
        <v>3071660</v>
      </c>
      <c r="AF37" s="5">
        <v>3783838</v>
      </c>
      <c r="AG37" s="5">
        <v>3147491</v>
      </c>
      <c r="AH37" s="5">
        <v>2357617</v>
      </c>
      <c r="AI37" s="5">
        <v>2785040</v>
      </c>
    </row>
    <row r="38" spans="1:35" x14ac:dyDescent="0.25">
      <c r="A38" s="2" t="s">
        <v>37</v>
      </c>
      <c r="B38" s="2" t="s">
        <v>115</v>
      </c>
      <c r="C38" s="1"/>
      <c r="D38" s="1"/>
      <c r="E38" s="1"/>
      <c r="F38" s="5">
        <v>1537890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>
        <v>5244309</v>
      </c>
      <c r="Y38" s="5">
        <v>5419794</v>
      </c>
      <c r="Z38" s="5">
        <v>5483067</v>
      </c>
      <c r="AA38" s="5">
        <v>5473912</v>
      </c>
      <c r="AB38" s="5">
        <v>3205270</v>
      </c>
      <c r="AC38" s="5">
        <v>3196831</v>
      </c>
      <c r="AD38" s="5">
        <v>2168101</v>
      </c>
      <c r="AE38" s="5">
        <v>1635882</v>
      </c>
      <c r="AF38" s="5">
        <v>1895847</v>
      </c>
      <c r="AG38" s="5">
        <v>2117800</v>
      </c>
      <c r="AH38" s="5">
        <v>1808285</v>
      </c>
      <c r="AI38" s="5">
        <v>2775353</v>
      </c>
    </row>
    <row r="39" spans="1:35" x14ac:dyDescent="0.25">
      <c r="A39" s="2" t="s">
        <v>45</v>
      </c>
      <c r="B39" s="2" t="s">
        <v>123</v>
      </c>
      <c r="C39" s="5">
        <v>267007</v>
      </c>
      <c r="D39" s="5">
        <v>1109906</v>
      </c>
      <c r="E39" s="5">
        <v>581215</v>
      </c>
      <c r="F39" s="5">
        <v>4832606</v>
      </c>
      <c r="G39" s="5">
        <v>10476365</v>
      </c>
      <c r="H39" s="5">
        <v>5432525</v>
      </c>
      <c r="I39" s="5">
        <v>5470390</v>
      </c>
      <c r="J39" s="5">
        <v>4460129</v>
      </c>
      <c r="K39" s="5">
        <v>4788228</v>
      </c>
      <c r="L39" s="5">
        <v>4655353</v>
      </c>
      <c r="M39" s="5">
        <v>5890299</v>
      </c>
      <c r="N39" s="5">
        <v>6385846</v>
      </c>
      <c r="O39" s="5">
        <v>6371405</v>
      </c>
      <c r="P39" s="5">
        <v>6502579</v>
      </c>
      <c r="Q39" s="5">
        <v>6923490</v>
      </c>
      <c r="R39" s="5">
        <v>8601912</v>
      </c>
      <c r="S39" s="5">
        <v>8760471</v>
      </c>
      <c r="T39" s="5">
        <v>8612890</v>
      </c>
      <c r="U39" s="5">
        <v>8779587</v>
      </c>
      <c r="V39" s="5">
        <v>7981132</v>
      </c>
      <c r="W39" s="5">
        <v>9854079</v>
      </c>
      <c r="X39" s="5">
        <v>9908150</v>
      </c>
      <c r="Y39" s="5">
        <v>9544757</v>
      </c>
      <c r="Z39" s="5">
        <v>10902690</v>
      </c>
      <c r="AA39" s="5">
        <v>5685544</v>
      </c>
      <c r="AB39" s="5">
        <v>5237415</v>
      </c>
      <c r="AC39" s="5">
        <v>5197921</v>
      </c>
      <c r="AD39" s="5">
        <v>3379282</v>
      </c>
      <c r="AE39" s="5">
        <v>3230366</v>
      </c>
      <c r="AF39" s="5">
        <v>3770373</v>
      </c>
      <c r="AG39" s="5">
        <v>3098117</v>
      </c>
      <c r="AH39" s="5">
        <v>2345542</v>
      </c>
      <c r="AI39" s="5">
        <v>2529096</v>
      </c>
    </row>
    <row r="40" spans="1:35" x14ac:dyDescent="0.25">
      <c r="A40" s="2" t="s">
        <v>42</v>
      </c>
      <c r="B40" s="2" t="s">
        <v>120</v>
      </c>
      <c r="C40" s="1"/>
      <c r="D40" s="1"/>
      <c r="E40" s="1"/>
      <c r="F40" s="5">
        <v>1474782</v>
      </c>
      <c r="G40" s="1"/>
      <c r="H40" s="1"/>
      <c r="I40" s="1"/>
      <c r="J40" s="1"/>
      <c r="K40" s="1"/>
      <c r="L40" s="1"/>
      <c r="M40" s="1"/>
      <c r="N40" s="1"/>
      <c r="O40" s="1"/>
      <c r="P40" s="5">
        <v>2461009</v>
      </c>
      <c r="Q40" s="5">
        <v>2733134</v>
      </c>
      <c r="R40" s="5">
        <v>3268708</v>
      </c>
      <c r="S40" s="5">
        <v>3802790</v>
      </c>
      <c r="T40" s="5">
        <v>4002338</v>
      </c>
      <c r="U40" s="5">
        <v>3679426</v>
      </c>
      <c r="V40" s="5">
        <v>4233152</v>
      </c>
      <c r="W40" s="5">
        <v>4757184</v>
      </c>
      <c r="X40" s="1"/>
      <c r="Y40" s="1"/>
      <c r="Z40" s="1"/>
      <c r="AA40" s="5">
        <v>5743399</v>
      </c>
      <c r="AB40" s="5">
        <v>4482339</v>
      </c>
      <c r="AC40" s="5">
        <v>3966950</v>
      </c>
      <c r="AD40" s="5">
        <v>2855434</v>
      </c>
      <c r="AE40" s="5">
        <v>2932508</v>
      </c>
      <c r="AF40" s="5">
        <v>2511631</v>
      </c>
      <c r="AG40" s="5">
        <v>2413557</v>
      </c>
      <c r="AH40" s="5">
        <v>2367387</v>
      </c>
      <c r="AI40" s="5">
        <v>2523212</v>
      </c>
    </row>
    <row r="41" spans="1:35" x14ac:dyDescent="0.25">
      <c r="A41" s="2" t="s">
        <v>39</v>
      </c>
      <c r="B41" s="2" t="s">
        <v>117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5">
        <v>3496611</v>
      </c>
      <c r="T41" s="5">
        <v>3442357</v>
      </c>
      <c r="U41" s="5">
        <v>3433902</v>
      </c>
      <c r="V41" s="1"/>
      <c r="W41" s="1"/>
      <c r="X41" s="1"/>
      <c r="Y41" s="1"/>
      <c r="Z41" s="1"/>
      <c r="AA41" s="1"/>
      <c r="AB41" s="1"/>
      <c r="AC41" s="5">
        <v>3503071</v>
      </c>
      <c r="AD41" s="5">
        <v>2734944</v>
      </c>
      <c r="AE41" s="5">
        <v>2528228</v>
      </c>
      <c r="AF41" s="5">
        <v>2397449</v>
      </c>
      <c r="AG41" s="5">
        <v>2599742</v>
      </c>
      <c r="AH41" s="5">
        <v>2460966</v>
      </c>
      <c r="AI41" s="5">
        <v>2507100</v>
      </c>
    </row>
    <row r="42" spans="1:35" x14ac:dyDescent="0.25">
      <c r="A42" s="2" t="s">
        <v>43</v>
      </c>
      <c r="B42" s="2" t="s">
        <v>121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5">
        <v>3020408</v>
      </c>
      <c r="AD42" s="5">
        <v>2489645</v>
      </c>
      <c r="AE42" s="5">
        <v>2228101</v>
      </c>
      <c r="AF42" s="5">
        <v>2144715</v>
      </c>
      <c r="AG42" s="5">
        <v>2347086</v>
      </c>
      <c r="AH42" s="5">
        <v>2301519</v>
      </c>
      <c r="AI42" s="5">
        <v>2374037</v>
      </c>
    </row>
    <row r="43" spans="1:35" x14ac:dyDescent="0.25">
      <c r="A43" s="2" t="s">
        <v>41</v>
      </c>
      <c r="B43" s="2" t="s">
        <v>119</v>
      </c>
      <c r="C43" s="5">
        <v>60834</v>
      </c>
      <c r="D43" s="5">
        <v>170766</v>
      </c>
      <c r="E43" s="5">
        <v>165632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5">
        <v>4658024</v>
      </c>
      <c r="Z43" s="5">
        <v>4894796</v>
      </c>
      <c r="AA43" s="5">
        <v>4941907</v>
      </c>
      <c r="AB43" s="5">
        <v>3114484</v>
      </c>
      <c r="AC43" s="1"/>
      <c r="AD43" s="1"/>
      <c r="AE43" s="1"/>
      <c r="AF43" s="1"/>
      <c r="AG43" s="1"/>
      <c r="AH43" s="1"/>
      <c r="AI43" s="5">
        <v>2330256</v>
      </c>
    </row>
    <row r="44" spans="1:35" x14ac:dyDescent="0.25">
      <c r="A44" s="2" t="s">
        <v>49</v>
      </c>
      <c r="B44" s="2" t="s">
        <v>127</v>
      </c>
      <c r="C44" s="5">
        <v>71189</v>
      </c>
      <c r="D44" s="5">
        <v>276056</v>
      </c>
      <c r="E44" s="5">
        <v>222619</v>
      </c>
      <c r="F44" s="1"/>
      <c r="G44" s="5">
        <v>5366366</v>
      </c>
      <c r="H44" s="5">
        <v>2170840</v>
      </c>
      <c r="I44" s="5">
        <v>2040981</v>
      </c>
      <c r="J44" s="5">
        <v>1866937</v>
      </c>
      <c r="K44" s="5">
        <v>2334838</v>
      </c>
      <c r="L44" s="5">
        <v>2504992</v>
      </c>
      <c r="M44" s="5">
        <v>2804933</v>
      </c>
      <c r="N44" s="5">
        <v>2378118</v>
      </c>
      <c r="O44" s="5">
        <v>2590732</v>
      </c>
      <c r="P44" s="5">
        <v>2571264</v>
      </c>
      <c r="Q44" s="5">
        <v>3059870</v>
      </c>
      <c r="R44" s="5">
        <v>3017398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5">
        <v>2421748</v>
      </c>
      <c r="AG44" s="5">
        <v>2530947</v>
      </c>
      <c r="AH44" s="5">
        <v>2507426</v>
      </c>
      <c r="AI44" s="5">
        <v>2255544</v>
      </c>
    </row>
    <row r="45" spans="1:35" x14ac:dyDescent="0.25">
      <c r="A45" s="2" t="s">
        <v>46</v>
      </c>
      <c r="B45" s="2" t="s">
        <v>124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5">
        <v>2759524</v>
      </c>
      <c r="Q45" s="5">
        <v>2842246</v>
      </c>
      <c r="R45" s="5">
        <v>3211672</v>
      </c>
      <c r="S45" s="5">
        <v>4181265</v>
      </c>
      <c r="T45" s="5">
        <v>4073613</v>
      </c>
      <c r="U45" s="5">
        <v>4493970</v>
      </c>
      <c r="V45" s="5">
        <v>5267554</v>
      </c>
      <c r="W45" s="5">
        <v>5594414</v>
      </c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5">
        <v>2223610</v>
      </c>
    </row>
    <row r="46" spans="1:35" x14ac:dyDescent="0.25">
      <c r="A46" s="2" t="s">
        <v>34</v>
      </c>
      <c r="B46" s="2" t="s">
        <v>112</v>
      </c>
      <c r="C46" s="1"/>
      <c r="D46" s="1"/>
      <c r="E46" s="1"/>
      <c r="F46" s="1"/>
      <c r="G46" s="5">
        <v>4648550</v>
      </c>
      <c r="H46" s="5">
        <v>2237004</v>
      </c>
      <c r="I46" s="5">
        <v>2039799</v>
      </c>
      <c r="J46" s="5">
        <v>1851608</v>
      </c>
      <c r="K46" s="5">
        <v>2100279</v>
      </c>
      <c r="L46" s="5">
        <v>2201692</v>
      </c>
      <c r="M46" s="5">
        <v>2661552</v>
      </c>
      <c r="N46" s="5">
        <v>2803575</v>
      </c>
      <c r="O46" s="5">
        <v>3000838</v>
      </c>
      <c r="P46" s="5">
        <v>3132592</v>
      </c>
      <c r="Q46" s="5">
        <v>3605100</v>
      </c>
      <c r="R46" s="5">
        <v>4292971</v>
      </c>
      <c r="S46" s="5">
        <v>5277615</v>
      </c>
      <c r="T46" s="5">
        <v>5652899</v>
      </c>
      <c r="U46" s="5">
        <v>5300339</v>
      </c>
      <c r="V46" s="5">
        <v>5856027</v>
      </c>
      <c r="W46" s="5">
        <v>7707980</v>
      </c>
      <c r="X46" s="5">
        <v>6472812</v>
      </c>
      <c r="Y46" s="5">
        <v>9841874</v>
      </c>
      <c r="Z46" s="5">
        <v>12686493</v>
      </c>
      <c r="AA46" s="5">
        <v>13184155</v>
      </c>
      <c r="AB46" s="5">
        <v>9121499</v>
      </c>
      <c r="AC46" s="5">
        <v>5235748</v>
      </c>
      <c r="AD46" s="5">
        <v>2824547</v>
      </c>
      <c r="AE46" s="5">
        <v>2834961</v>
      </c>
      <c r="AF46" s="5">
        <v>2831770</v>
      </c>
      <c r="AG46" s="5">
        <v>2659567</v>
      </c>
      <c r="AH46" s="5">
        <v>2127475</v>
      </c>
      <c r="AI46" s="5">
        <v>2191856</v>
      </c>
    </row>
    <row r="47" spans="1:35" x14ac:dyDescent="0.25">
      <c r="A47" s="2" t="s">
        <v>50</v>
      </c>
      <c r="B47" s="2" t="s">
        <v>129</v>
      </c>
      <c r="C47" s="1"/>
      <c r="D47" s="5">
        <v>113764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5">
        <v>4093996</v>
      </c>
      <c r="Z47" s="5">
        <v>3940851</v>
      </c>
      <c r="AA47" s="1"/>
      <c r="AB47" s="1"/>
      <c r="AC47" s="1"/>
      <c r="AD47" s="5">
        <v>2031593</v>
      </c>
      <c r="AE47" s="5">
        <v>2251376</v>
      </c>
      <c r="AF47" s="5">
        <v>2350573</v>
      </c>
      <c r="AG47" s="5">
        <v>2062922</v>
      </c>
      <c r="AH47" s="5">
        <v>1883112</v>
      </c>
      <c r="AI47" s="5">
        <v>2176264</v>
      </c>
    </row>
    <row r="48" spans="1:35" x14ac:dyDescent="0.25">
      <c r="A48" s="2" t="s">
        <v>47</v>
      </c>
      <c r="B48" s="2" t="s">
        <v>125</v>
      </c>
      <c r="C48" s="1"/>
      <c r="D48" s="1"/>
      <c r="E48" s="5">
        <v>196373</v>
      </c>
      <c r="F48" s="5">
        <v>2052297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5">
        <v>4812498</v>
      </c>
      <c r="Z48" s="5">
        <v>5432445</v>
      </c>
      <c r="AA48" s="5">
        <v>5313826</v>
      </c>
      <c r="AB48" s="5">
        <v>4397752</v>
      </c>
      <c r="AC48" s="5">
        <v>3199475</v>
      </c>
      <c r="AD48" s="5">
        <v>2324665</v>
      </c>
      <c r="AE48" s="5">
        <v>2479702</v>
      </c>
      <c r="AF48" s="5">
        <v>2320200</v>
      </c>
      <c r="AG48" s="5">
        <v>1991899</v>
      </c>
      <c r="AH48" s="5">
        <v>1915299</v>
      </c>
      <c r="AI48" s="5">
        <v>2154431</v>
      </c>
    </row>
    <row r="49" spans="1:35" x14ac:dyDescent="0.25">
      <c r="A49" s="2" t="s">
        <v>38</v>
      </c>
      <c r="B49" s="2" t="s">
        <v>116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5">
        <v>2456602</v>
      </c>
      <c r="AG49" s="5">
        <v>2185355</v>
      </c>
      <c r="AH49" s="5">
        <v>2009590</v>
      </c>
      <c r="AI49" s="5">
        <v>2060734</v>
      </c>
    </row>
    <row r="50" spans="1:35" x14ac:dyDescent="0.25">
      <c r="A50" s="2" t="s">
        <v>51</v>
      </c>
      <c r="B50" s="2" t="s">
        <v>130</v>
      </c>
      <c r="C50" s="1"/>
      <c r="D50" s="1"/>
      <c r="E50" s="5">
        <v>145332</v>
      </c>
      <c r="F50" s="1"/>
      <c r="G50" s="5">
        <v>3744522</v>
      </c>
      <c r="H50" s="5">
        <v>1958912</v>
      </c>
      <c r="I50" s="5">
        <v>1829805</v>
      </c>
      <c r="J50" s="5">
        <v>2071017</v>
      </c>
      <c r="K50" s="5">
        <v>2355600</v>
      </c>
      <c r="L50" s="5">
        <v>2388563</v>
      </c>
      <c r="M50" s="5">
        <v>2051591</v>
      </c>
      <c r="N50" s="5">
        <v>2105589</v>
      </c>
      <c r="O50" s="5">
        <v>2068094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5">
        <v>3047656</v>
      </c>
      <c r="AD50" s="5">
        <v>2066841</v>
      </c>
      <c r="AE50" s="5">
        <v>2391171</v>
      </c>
      <c r="AF50" s="5">
        <v>2310175</v>
      </c>
      <c r="AG50" s="5">
        <v>2115504</v>
      </c>
      <c r="AH50" s="5">
        <v>2073637</v>
      </c>
      <c r="AI50" s="5">
        <v>2027950</v>
      </c>
    </row>
    <row r="51" spans="1:35" x14ac:dyDescent="0.25">
      <c r="A51" s="2" t="s">
        <v>52</v>
      </c>
      <c r="B51" s="2" t="s">
        <v>131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5">
        <v>1904681</v>
      </c>
      <c r="AH51" s="5">
        <v>1788380</v>
      </c>
      <c r="AI51" s="5">
        <v>1887560</v>
      </c>
    </row>
    <row r="52" spans="1:35" x14ac:dyDescent="0.25">
      <c r="A52" s="2" t="s">
        <v>53</v>
      </c>
      <c r="B52" s="2" t="s">
        <v>132</v>
      </c>
      <c r="C52" s="5">
        <v>35501</v>
      </c>
      <c r="D52" s="1"/>
      <c r="E52" s="1"/>
      <c r="F52" s="5">
        <v>2390058</v>
      </c>
      <c r="G52" s="5">
        <v>7121655</v>
      </c>
      <c r="H52" s="5">
        <v>3428751</v>
      </c>
      <c r="I52" s="5">
        <v>3496458</v>
      </c>
      <c r="J52" s="5">
        <v>3479184</v>
      </c>
      <c r="K52" s="5">
        <v>3853001</v>
      </c>
      <c r="L52" s="5">
        <v>4072542</v>
      </c>
      <c r="M52" s="5">
        <v>5320380</v>
      </c>
      <c r="N52" s="5">
        <v>5412517</v>
      </c>
      <c r="O52" s="5">
        <v>5145896</v>
      </c>
      <c r="P52" s="5">
        <v>5199322</v>
      </c>
      <c r="Q52" s="5">
        <v>6010246</v>
      </c>
      <c r="R52" s="5">
        <v>7294310</v>
      </c>
      <c r="S52" s="5">
        <v>7968622</v>
      </c>
      <c r="T52" s="5">
        <v>8977431</v>
      </c>
      <c r="U52" s="5">
        <v>8464347</v>
      </c>
      <c r="V52" s="5">
        <v>10227092</v>
      </c>
      <c r="W52" s="5">
        <v>13633321</v>
      </c>
      <c r="X52" s="5">
        <v>11356318</v>
      </c>
      <c r="Y52" s="5">
        <v>12861369</v>
      </c>
      <c r="Z52" s="5">
        <v>13865582</v>
      </c>
      <c r="AA52" s="5">
        <v>11401487</v>
      </c>
      <c r="AB52" s="5">
        <v>9534790</v>
      </c>
      <c r="AC52" s="5">
        <v>7786987</v>
      </c>
      <c r="AD52" s="5">
        <v>4546933</v>
      </c>
      <c r="AE52" s="5">
        <v>4558401</v>
      </c>
      <c r="AF52" s="5">
        <v>4752219</v>
      </c>
      <c r="AG52" s="5">
        <v>4021093</v>
      </c>
      <c r="AH52" s="5">
        <v>3648657</v>
      </c>
      <c r="AI52" s="1"/>
    </row>
    <row r="53" spans="1:35" x14ac:dyDescent="0.25">
      <c r="A53" s="2" t="s">
        <v>54</v>
      </c>
      <c r="B53" s="2" t="s">
        <v>133</v>
      </c>
      <c r="C53" s="1"/>
      <c r="D53" s="1"/>
      <c r="E53" s="1"/>
      <c r="F53" s="5">
        <v>2520728</v>
      </c>
      <c r="G53" s="5">
        <v>9464376</v>
      </c>
      <c r="H53" s="5">
        <v>4192423</v>
      </c>
      <c r="I53" s="5">
        <v>3866554</v>
      </c>
      <c r="J53" s="5">
        <v>3620117</v>
      </c>
      <c r="K53" s="5">
        <v>4108909</v>
      </c>
      <c r="L53" s="5">
        <v>4920537</v>
      </c>
      <c r="M53" s="5">
        <v>6245629</v>
      </c>
      <c r="N53" s="5">
        <v>5926392</v>
      </c>
      <c r="O53" s="5">
        <v>5979634</v>
      </c>
      <c r="P53" s="5">
        <v>5968515</v>
      </c>
      <c r="Q53" s="5">
        <v>6279508</v>
      </c>
      <c r="R53" s="5">
        <v>7053924</v>
      </c>
      <c r="S53" s="5">
        <v>7560599</v>
      </c>
      <c r="T53" s="5">
        <v>8109420</v>
      </c>
      <c r="U53" s="5">
        <v>7786907</v>
      </c>
      <c r="V53" s="5">
        <v>8913828</v>
      </c>
      <c r="W53" s="5">
        <v>10114292</v>
      </c>
      <c r="X53" s="5">
        <v>7565708</v>
      </c>
      <c r="Y53" s="5">
        <v>10204478</v>
      </c>
      <c r="Z53" s="5">
        <v>11791729</v>
      </c>
      <c r="AA53" s="5">
        <v>14563930</v>
      </c>
      <c r="AB53" s="5">
        <v>9491778</v>
      </c>
      <c r="AC53" s="5">
        <v>6261886</v>
      </c>
      <c r="AD53" s="5">
        <v>3229994</v>
      </c>
      <c r="AE53" s="5">
        <v>3255360</v>
      </c>
      <c r="AF53" s="5">
        <v>3204611</v>
      </c>
      <c r="AG53" s="5">
        <v>2936895</v>
      </c>
      <c r="AH53" s="5">
        <v>2541556</v>
      </c>
      <c r="AI53" s="1"/>
    </row>
    <row r="54" spans="1:35" x14ac:dyDescent="0.25">
      <c r="A54" s="2" t="s">
        <v>55</v>
      </c>
      <c r="B54" s="2" t="s">
        <v>134</v>
      </c>
      <c r="C54" s="5">
        <v>51329</v>
      </c>
      <c r="D54" s="5">
        <v>161742</v>
      </c>
      <c r="E54" s="5">
        <v>210207</v>
      </c>
      <c r="F54" s="5">
        <v>2438470</v>
      </c>
      <c r="G54" s="5">
        <v>5083676</v>
      </c>
      <c r="H54" s="5">
        <v>2491752</v>
      </c>
      <c r="I54" s="5">
        <v>2638158</v>
      </c>
      <c r="J54" s="5">
        <v>2750975</v>
      </c>
      <c r="K54" s="5">
        <v>3271749</v>
      </c>
      <c r="L54" s="5">
        <v>3396678</v>
      </c>
      <c r="M54" s="5">
        <v>3801407</v>
      </c>
      <c r="N54" s="5">
        <v>3675726</v>
      </c>
      <c r="O54" s="5">
        <v>3590602</v>
      </c>
      <c r="P54" s="5">
        <v>3733060</v>
      </c>
      <c r="Q54" s="5">
        <v>4261969</v>
      </c>
      <c r="R54" s="5">
        <v>4552888</v>
      </c>
      <c r="S54" s="5">
        <v>4971932</v>
      </c>
      <c r="T54" s="5">
        <v>5836354</v>
      </c>
      <c r="U54" s="5">
        <v>5497820</v>
      </c>
      <c r="V54" s="5">
        <v>5724874</v>
      </c>
      <c r="W54" s="5">
        <v>7447435</v>
      </c>
      <c r="X54" s="5">
        <v>6013306</v>
      </c>
      <c r="Y54" s="5">
        <v>6460651</v>
      </c>
      <c r="Z54" s="5">
        <v>7315769</v>
      </c>
      <c r="AA54" s="5">
        <v>6264664</v>
      </c>
      <c r="AB54" s="5">
        <v>5049347</v>
      </c>
      <c r="AC54" s="5">
        <v>3544457</v>
      </c>
      <c r="AD54" s="5">
        <v>3225043</v>
      </c>
      <c r="AE54" s="5">
        <v>2575394</v>
      </c>
      <c r="AF54" s="5">
        <v>1804673</v>
      </c>
      <c r="AG54" s="1"/>
      <c r="AH54" s="1"/>
      <c r="AI54" s="1"/>
    </row>
    <row r="55" spans="1:35" x14ac:dyDescent="0.25">
      <c r="A55" s="1"/>
      <c r="B55" s="2" t="s">
        <v>135</v>
      </c>
      <c r="C55" s="5">
        <v>41811</v>
      </c>
      <c r="D55" s="5">
        <v>100932</v>
      </c>
      <c r="E55" s="5">
        <v>178758</v>
      </c>
      <c r="F55" s="5">
        <v>1660760</v>
      </c>
      <c r="G55" s="5">
        <v>4285865</v>
      </c>
      <c r="H55" s="5">
        <v>2077806</v>
      </c>
      <c r="I55" s="5">
        <v>2289697</v>
      </c>
      <c r="J55" s="5">
        <v>2484008</v>
      </c>
      <c r="K55" s="5">
        <v>2815199</v>
      </c>
      <c r="L55" s="5">
        <v>3191062</v>
      </c>
      <c r="M55" s="5">
        <v>3940158</v>
      </c>
      <c r="N55" s="5">
        <v>4251766</v>
      </c>
      <c r="O55" s="5">
        <v>4223506</v>
      </c>
      <c r="P55" s="5">
        <v>4916316</v>
      </c>
      <c r="Q55" s="5">
        <v>5224846</v>
      </c>
      <c r="R55" s="5">
        <v>5822953</v>
      </c>
      <c r="S55" s="5">
        <v>4429334</v>
      </c>
      <c r="T55" s="5">
        <v>4853609</v>
      </c>
      <c r="U55" s="5">
        <v>5510813</v>
      </c>
      <c r="V55" s="5">
        <v>6258732</v>
      </c>
      <c r="W55" s="5">
        <v>8494492</v>
      </c>
      <c r="X55" s="5">
        <v>8902809</v>
      </c>
      <c r="Y55" s="5">
        <v>7942726</v>
      </c>
      <c r="Z55" s="5">
        <v>9281724</v>
      </c>
      <c r="AA55" s="5">
        <v>7937679</v>
      </c>
      <c r="AB55" s="5">
        <v>5705827</v>
      </c>
      <c r="AC55" s="5">
        <v>4403009</v>
      </c>
      <c r="AD55" s="5">
        <v>2938004</v>
      </c>
      <c r="AE55" s="5">
        <v>1899420</v>
      </c>
      <c r="AF55" s="1"/>
      <c r="AG55" s="1"/>
      <c r="AH55" s="1"/>
      <c r="AI55" s="1"/>
    </row>
    <row r="56" spans="1:35" x14ac:dyDescent="0.25">
      <c r="A56" s="2" t="s">
        <v>56</v>
      </c>
      <c r="B56" s="2" t="s">
        <v>136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>
        <v>5204672</v>
      </c>
      <c r="AB56" s="5">
        <v>2550166</v>
      </c>
      <c r="AC56" s="5">
        <v>2516807</v>
      </c>
      <c r="AD56" s="5">
        <v>1200436</v>
      </c>
      <c r="AE56" s="5">
        <v>809934</v>
      </c>
      <c r="AF56" s="1"/>
      <c r="AG56" s="1"/>
      <c r="AH56" s="1"/>
      <c r="AI56" s="1"/>
    </row>
    <row r="57" spans="1:35" x14ac:dyDescent="0.25">
      <c r="A57" s="2" t="s">
        <v>57</v>
      </c>
      <c r="B57" s="2" t="s">
        <v>137</v>
      </c>
      <c r="C57" s="1"/>
      <c r="D57" s="1"/>
      <c r="E57" s="1"/>
      <c r="F57" s="5">
        <v>1365487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5">
        <v>3553494</v>
      </c>
      <c r="T57" s="5">
        <v>3585668</v>
      </c>
      <c r="U57" s="5">
        <v>3368935</v>
      </c>
      <c r="V57" s="1"/>
      <c r="W57" s="1"/>
      <c r="X57" s="5">
        <v>4915123</v>
      </c>
      <c r="Y57" s="5">
        <v>4898835</v>
      </c>
      <c r="Z57" s="5">
        <v>4969498</v>
      </c>
      <c r="AA57" s="5">
        <v>4510499</v>
      </c>
      <c r="AB57" s="5">
        <v>3504025</v>
      </c>
      <c r="AC57" s="5">
        <v>3227898</v>
      </c>
      <c r="AD57" s="1"/>
      <c r="AE57" s="1"/>
      <c r="AF57" s="1"/>
      <c r="AG57" s="1"/>
      <c r="AH57" s="1"/>
      <c r="AI57" s="1"/>
    </row>
    <row r="58" spans="1:35" x14ac:dyDescent="0.25">
      <c r="A58" s="2" t="s">
        <v>26</v>
      </c>
      <c r="B58" s="2" t="s">
        <v>104</v>
      </c>
      <c r="C58" s="5">
        <v>275516</v>
      </c>
      <c r="D58" s="5">
        <v>721979</v>
      </c>
      <c r="E58" s="5">
        <v>516447</v>
      </c>
      <c r="F58" s="5">
        <v>3812367</v>
      </c>
      <c r="G58" s="5">
        <v>11726339</v>
      </c>
      <c r="H58" s="5">
        <v>5299476</v>
      </c>
      <c r="I58" s="5">
        <v>5234712</v>
      </c>
      <c r="J58" s="5">
        <v>5142137</v>
      </c>
      <c r="K58" s="5">
        <v>5264031</v>
      </c>
      <c r="L58" s="5">
        <v>6045828</v>
      </c>
      <c r="M58" s="5">
        <v>7092853</v>
      </c>
      <c r="N58" s="5">
        <v>7195044</v>
      </c>
      <c r="O58" s="5">
        <v>7054565</v>
      </c>
      <c r="P58" s="5">
        <v>6712964</v>
      </c>
      <c r="Q58" s="5">
        <v>7212563</v>
      </c>
      <c r="R58" s="5">
        <v>7703523</v>
      </c>
      <c r="S58" s="5">
        <v>8014055</v>
      </c>
      <c r="T58" s="5">
        <v>8251497</v>
      </c>
      <c r="U58" s="5">
        <v>8309027</v>
      </c>
      <c r="V58" s="5">
        <v>9263456</v>
      </c>
      <c r="W58" s="5">
        <v>7526183</v>
      </c>
      <c r="X58" s="5">
        <v>6188016</v>
      </c>
      <c r="Y58" s="5">
        <v>7081772</v>
      </c>
      <c r="Z58" s="5">
        <v>7097205</v>
      </c>
      <c r="AA58" s="5">
        <v>6069389</v>
      </c>
      <c r="AB58" s="5">
        <v>4493295</v>
      </c>
      <c r="AC58" s="1"/>
      <c r="AD58" s="1"/>
      <c r="AE58" s="1"/>
      <c r="AF58" s="1"/>
      <c r="AG58" s="1"/>
      <c r="AH58" s="1"/>
      <c r="AI58" s="1"/>
    </row>
    <row r="59" spans="1:35" x14ac:dyDescent="0.25">
      <c r="A59" s="2" t="s">
        <v>44</v>
      </c>
      <c r="B59" s="2" t="s">
        <v>122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5">
        <v>5965786</v>
      </c>
      <c r="W59" s="5">
        <v>6924549</v>
      </c>
      <c r="X59" s="5">
        <v>4627377</v>
      </c>
      <c r="Y59" s="5">
        <v>5570154</v>
      </c>
      <c r="Z59" s="5">
        <v>5687019</v>
      </c>
      <c r="AA59" s="5">
        <v>3770248</v>
      </c>
      <c r="AB59" s="5">
        <v>2592021</v>
      </c>
      <c r="AC59" s="1"/>
      <c r="AD59" s="1"/>
      <c r="AE59" s="1"/>
      <c r="AF59" s="1"/>
      <c r="AG59" s="1"/>
      <c r="AH59" s="1"/>
      <c r="AI59" s="1"/>
    </row>
    <row r="60" spans="1:35" x14ac:dyDescent="0.25">
      <c r="A60" s="2" t="s">
        <v>58</v>
      </c>
      <c r="B60" s="2" t="s">
        <v>138</v>
      </c>
      <c r="C60" s="5">
        <v>48319</v>
      </c>
      <c r="D60" s="5">
        <v>115324</v>
      </c>
      <c r="E60" s="5">
        <v>138758</v>
      </c>
      <c r="F60" s="5">
        <v>1583369</v>
      </c>
      <c r="G60" s="5">
        <v>4388727</v>
      </c>
      <c r="H60" s="5">
        <v>1914792</v>
      </c>
      <c r="I60" s="5">
        <v>2092931</v>
      </c>
      <c r="J60" s="5">
        <v>1870077</v>
      </c>
      <c r="K60" s="5">
        <v>2062933</v>
      </c>
      <c r="L60" s="5">
        <v>2028451</v>
      </c>
      <c r="M60" s="5">
        <v>2400579</v>
      </c>
      <c r="N60" s="5">
        <v>2344236</v>
      </c>
      <c r="O60" s="5">
        <v>3225156</v>
      </c>
      <c r="P60" s="5">
        <v>3224692</v>
      </c>
      <c r="Q60" s="5">
        <v>3436158</v>
      </c>
      <c r="R60" s="5">
        <v>3724476</v>
      </c>
      <c r="S60" s="5">
        <v>4025583</v>
      </c>
      <c r="T60" s="5">
        <v>3935400</v>
      </c>
      <c r="U60" s="5">
        <v>4052026</v>
      </c>
      <c r="V60" s="5">
        <v>4038488</v>
      </c>
      <c r="W60" s="5">
        <v>4976149</v>
      </c>
      <c r="X60" s="5">
        <v>4456789</v>
      </c>
      <c r="Y60" s="5">
        <v>4360437</v>
      </c>
      <c r="Z60" s="5">
        <v>3922416</v>
      </c>
      <c r="AA60" s="1"/>
      <c r="AB60" s="1"/>
      <c r="AC60" s="1"/>
      <c r="AD60" s="1"/>
      <c r="AE60" s="1"/>
      <c r="AF60" s="1"/>
      <c r="AG60" s="1"/>
      <c r="AH60" s="1"/>
      <c r="AI60" s="1"/>
    </row>
    <row r="61" spans="1:35" x14ac:dyDescent="0.25">
      <c r="A61" s="2" t="s">
        <v>59</v>
      </c>
      <c r="B61" s="2" t="s">
        <v>139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>
        <v>4582913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x14ac:dyDescent="0.25">
      <c r="A62" s="2" t="s">
        <v>60</v>
      </c>
      <c r="B62" s="2" t="s">
        <v>140</v>
      </c>
      <c r="C62" s="5">
        <v>143655</v>
      </c>
      <c r="D62" s="5">
        <v>636388</v>
      </c>
      <c r="E62" s="5">
        <v>289518</v>
      </c>
      <c r="F62" s="5">
        <v>2670196</v>
      </c>
      <c r="G62" s="5">
        <v>5987810</v>
      </c>
      <c r="H62" s="5">
        <v>2774700</v>
      </c>
      <c r="I62" s="5">
        <v>2779672</v>
      </c>
      <c r="J62" s="5">
        <v>2578740</v>
      </c>
      <c r="K62" s="5">
        <v>2797231</v>
      </c>
      <c r="L62" s="5">
        <v>3120898</v>
      </c>
      <c r="M62" s="5">
        <v>3706449</v>
      </c>
      <c r="N62" s="5">
        <v>3368211</v>
      </c>
      <c r="O62" s="5">
        <v>3457267</v>
      </c>
      <c r="P62" s="5">
        <v>3400347</v>
      </c>
      <c r="Q62" s="5">
        <v>3584721</v>
      </c>
      <c r="R62" s="5">
        <v>3990592</v>
      </c>
      <c r="S62" s="5">
        <v>4231105</v>
      </c>
      <c r="T62" s="5">
        <v>4624549</v>
      </c>
      <c r="U62" s="5">
        <v>4616173</v>
      </c>
      <c r="V62" s="5">
        <v>3702240</v>
      </c>
      <c r="W62" s="5">
        <v>3857750</v>
      </c>
      <c r="X62" s="5">
        <v>4382343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x14ac:dyDescent="0.25">
      <c r="A63" s="2" t="s">
        <v>61</v>
      </c>
      <c r="B63" s="2" t="s">
        <v>141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>
        <v>4206438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x14ac:dyDescent="0.25">
      <c r="A64" s="2" t="s">
        <v>62</v>
      </c>
      <c r="B64" s="2" t="s">
        <v>142</v>
      </c>
      <c r="C64" s="1"/>
      <c r="D64" s="1"/>
      <c r="E64" s="1"/>
      <c r="F64" s="5">
        <v>1726418</v>
      </c>
      <c r="G64" s="5">
        <v>3881374</v>
      </c>
      <c r="H64" s="5">
        <v>1819910</v>
      </c>
      <c r="I64" s="5">
        <v>1801300</v>
      </c>
      <c r="J64" s="5">
        <v>1589919</v>
      </c>
      <c r="K64" s="5">
        <v>1762021</v>
      </c>
      <c r="L64" s="5">
        <v>1795211</v>
      </c>
      <c r="M64" s="5">
        <v>2269105</v>
      </c>
      <c r="N64" s="5">
        <v>2449015</v>
      </c>
      <c r="O64" s="5">
        <v>2664230</v>
      </c>
      <c r="P64" s="5">
        <v>2659905</v>
      </c>
      <c r="Q64" s="5">
        <v>2946125</v>
      </c>
      <c r="R64" s="5">
        <v>3067711</v>
      </c>
      <c r="S64" s="5">
        <v>3260068</v>
      </c>
      <c r="T64" s="5">
        <v>3315591</v>
      </c>
      <c r="U64" s="5">
        <v>3453158</v>
      </c>
      <c r="V64" s="5">
        <v>3614562</v>
      </c>
      <c r="W64" s="5">
        <v>4388385</v>
      </c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x14ac:dyDescent="0.25">
      <c r="A65" s="2" t="s">
        <v>63</v>
      </c>
      <c r="B65" s="2" t="s">
        <v>143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5">
        <v>3595809</v>
      </c>
      <c r="W65" s="5">
        <v>3848182</v>
      </c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x14ac:dyDescent="0.25">
      <c r="A66" s="2" t="s">
        <v>64</v>
      </c>
      <c r="B66" s="2" t="s">
        <v>144</v>
      </c>
      <c r="C66" s="1"/>
      <c r="D66" s="1"/>
      <c r="E66" s="5">
        <v>142714</v>
      </c>
      <c r="F66" s="5">
        <v>1660221</v>
      </c>
      <c r="G66" s="5">
        <v>4390389</v>
      </c>
      <c r="H66" s="5">
        <v>2104483</v>
      </c>
      <c r="I66" s="5">
        <v>1992275</v>
      </c>
      <c r="J66" s="5">
        <v>1756078</v>
      </c>
      <c r="K66" s="5">
        <v>2152678</v>
      </c>
      <c r="L66" s="5">
        <v>2410381</v>
      </c>
      <c r="M66" s="5">
        <v>3726160</v>
      </c>
      <c r="N66" s="5">
        <v>3875650</v>
      </c>
      <c r="O66" s="5">
        <v>3857248</v>
      </c>
      <c r="P66" s="5">
        <v>3868630</v>
      </c>
      <c r="Q66" s="5">
        <v>4161120</v>
      </c>
      <c r="R66" s="5">
        <v>4604327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x14ac:dyDescent="0.25">
      <c r="A67" s="2" t="s">
        <v>65</v>
      </c>
      <c r="B67" s="2" t="s">
        <v>145</v>
      </c>
      <c r="C67" s="1"/>
      <c r="D67" s="1"/>
      <c r="E67" s="1"/>
      <c r="F67" s="1"/>
      <c r="G67" s="5">
        <v>4151868</v>
      </c>
      <c r="H67" s="5">
        <v>1750254</v>
      </c>
      <c r="I67" s="5">
        <v>2000939</v>
      </c>
      <c r="J67" s="5">
        <v>1960060</v>
      </c>
      <c r="K67" s="5">
        <v>1995782</v>
      </c>
      <c r="L67" s="5">
        <v>1949017</v>
      </c>
      <c r="M67" s="5">
        <v>2390759</v>
      </c>
      <c r="N67" s="5">
        <v>2369030</v>
      </c>
      <c r="O67" s="5">
        <v>2278377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x14ac:dyDescent="0.25">
      <c r="A68" s="2" t="s">
        <v>66</v>
      </c>
      <c r="B68" s="2" t="s">
        <v>146</v>
      </c>
      <c r="C68" s="1"/>
      <c r="D68" s="5">
        <v>113437</v>
      </c>
      <c r="E68" s="1"/>
      <c r="F68" s="5">
        <v>1970558</v>
      </c>
      <c r="G68" s="5">
        <v>5379220</v>
      </c>
      <c r="H68" s="5">
        <v>3311385</v>
      </c>
      <c r="I68" s="5">
        <v>3269834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x14ac:dyDescent="0.25">
      <c r="A69" s="2" t="s">
        <v>67</v>
      </c>
      <c r="B69" s="2" t="s">
        <v>147</v>
      </c>
      <c r="C69" s="1"/>
      <c r="D69" s="5">
        <v>109113</v>
      </c>
      <c r="E69" s="1"/>
      <c r="F69" s="1"/>
      <c r="G69" s="5">
        <v>5776746</v>
      </c>
      <c r="H69" s="5">
        <v>2587325</v>
      </c>
      <c r="I69" s="5">
        <v>2572417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x14ac:dyDescent="0.25">
      <c r="A70" s="2" t="s">
        <v>68</v>
      </c>
      <c r="B70" s="2" t="s">
        <v>148</v>
      </c>
      <c r="C70" s="1"/>
      <c r="D70" s="1"/>
      <c r="E70" s="5">
        <v>261094</v>
      </c>
      <c r="F70" s="5">
        <v>2599523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x14ac:dyDescent="0.25">
      <c r="A71" s="1"/>
      <c r="B71" s="2" t="s">
        <v>149</v>
      </c>
      <c r="C71" s="1"/>
      <c r="D71" s="1"/>
      <c r="E71" s="5">
        <v>709262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x14ac:dyDescent="0.25">
      <c r="A72" s="2" t="s">
        <v>69</v>
      </c>
      <c r="B72" s="2" t="s">
        <v>150</v>
      </c>
      <c r="C72" s="5">
        <v>80317</v>
      </c>
      <c r="D72" s="5">
        <v>161069</v>
      </c>
      <c r="E72" s="5">
        <v>238046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x14ac:dyDescent="0.25">
      <c r="A73" s="2" t="s">
        <v>70</v>
      </c>
      <c r="B73" s="2" t="s">
        <v>151</v>
      </c>
      <c r="C73" s="1"/>
      <c r="D73" s="1"/>
      <c r="E73" s="5">
        <v>190565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x14ac:dyDescent="0.25">
      <c r="A74" s="2" t="s">
        <v>71</v>
      </c>
      <c r="B74" s="2" t="s">
        <v>152</v>
      </c>
      <c r="C74" s="5">
        <v>74614</v>
      </c>
      <c r="D74" s="5">
        <v>308622</v>
      </c>
      <c r="E74" s="5">
        <v>158422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x14ac:dyDescent="0.25">
      <c r="A75" s="2" t="s">
        <v>72</v>
      </c>
      <c r="B75" s="2" t="s">
        <v>153</v>
      </c>
      <c r="C75" s="5">
        <v>51910</v>
      </c>
      <c r="D75" s="5">
        <v>124767</v>
      </c>
      <c r="E75" s="5">
        <v>141866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x14ac:dyDescent="0.25">
      <c r="A76" s="2" t="s">
        <v>73</v>
      </c>
      <c r="B76" s="2" t="s">
        <v>154</v>
      </c>
      <c r="C76" s="5">
        <v>40240</v>
      </c>
      <c r="D76" s="5">
        <v>152879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x14ac:dyDescent="0.25">
      <c r="A77" s="2" t="s">
        <v>74</v>
      </c>
      <c r="B77" s="2" t="s">
        <v>155</v>
      </c>
      <c r="C77" s="5">
        <v>52454</v>
      </c>
      <c r="D77" s="5">
        <v>139942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x14ac:dyDescent="0.25">
      <c r="A78" s="2" t="s">
        <v>75</v>
      </c>
      <c r="B78" s="2" t="s">
        <v>156</v>
      </c>
      <c r="C78" s="5">
        <v>39729</v>
      </c>
      <c r="D78" s="5">
        <v>117034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x14ac:dyDescent="0.25">
      <c r="A79" s="2" t="s">
        <v>76</v>
      </c>
      <c r="B79" s="2" t="s">
        <v>157</v>
      </c>
      <c r="C79" s="5">
        <v>43164</v>
      </c>
      <c r="D79" s="5">
        <v>113091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x14ac:dyDescent="0.25">
      <c r="A80" s="1"/>
      <c r="B80" s="2" t="s">
        <v>158</v>
      </c>
      <c r="C80" s="5">
        <v>50912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x14ac:dyDescent="0.25">
      <c r="A81" s="2" t="s">
        <v>77</v>
      </c>
      <c r="B81" s="2" t="s">
        <v>159</v>
      </c>
      <c r="C81" s="5">
        <v>35034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1"/>
  <sheetViews>
    <sheetView workbookViewId="0"/>
  </sheetViews>
  <sheetFormatPr defaultRowHeight="15" x14ac:dyDescent="0.25"/>
  <sheetData>
    <row r="1" spans="1:35" x14ac:dyDescent="0.25">
      <c r="A1" s="1" t="str">
        <f>_xll.MSHOLDING("NAS:ADRE","SECID","11/13/2002","3/31/2009","Freq=M,HT=stocks,shares=true,name=true")</f>
        <v>SecID</v>
      </c>
      <c r="B1" s="2" t="s">
        <v>160</v>
      </c>
      <c r="C1" s="4">
        <v>37894</v>
      </c>
      <c r="D1" s="4">
        <v>38017</v>
      </c>
      <c r="E1" s="4">
        <v>38260</v>
      </c>
      <c r="F1" s="4">
        <v>38656</v>
      </c>
      <c r="G1" s="4">
        <v>38898</v>
      </c>
      <c r="H1" s="4">
        <v>38929</v>
      </c>
      <c r="I1" s="4">
        <v>38960</v>
      </c>
      <c r="J1" s="4">
        <v>38990</v>
      </c>
      <c r="K1" s="4">
        <v>39021</v>
      </c>
      <c r="L1" s="4">
        <v>39051</v>
      </c>
      <c r="M1" s="4">
        <v>39082</v>
      </c>
      <c r="N1" s="4">
        <v>39113</v>
      </c>
      <c r="O1" s="4">
        <v>39141</v>
      </c>
      <c r="P1" s="4">
        <v>39172</v>
      </c>
      <c r="Q1" s="4">
        <v>39202</v>
      </c>
      <c r="R1" s="4">
        <v>39233</v>
      </c>
      <c r="S1" s="4">
        <v>39263</v>
      </c>
      <c r="T1" s="4">
        <v>39294</v>
      </c>
      <c r="U1" s="4">
        <v>39325</v>
      </c>
      <c r="V1" s="4">
        <v>39355</v>
      </c>
      <c r="W1" s="4">
        <v>39386</v>
      </c>
      <c r="X1" s="4">
        <v>39478</v>
      </c>
      <c r="Y1" s="4">
        <v>39568</v>
      </c>
      <c r="Z1" s="4">
        <v>39599</v>
      </c>
      <c r="AA1" s="4">
        <v>39629</v>
      </c>
      <c r="AB1" s="4">
        <v>39691</v>
      </c>
      <c r="AC1" s="4">
        <v>39721</v>
      </c>
      <c r="AD1" s="4">
        <v>39752</v>
      </c>
      <c r="AE1" s="4">
        <v>39782</v>
      </c>
      <c r="AF1" s="4">
        <v>39813</v>
      </c>
      <c r="AG1" s="4">
        <v>39844</v>
      </c>
      <c r="AH1" s="4">
        <v>39872</v>
      </c>
      <c r="AI1" s="4">
        <v>39903</v>
      </c>
    </row>
    <row r="2" spans="1:35" x14ac:dyDescent="0.25">
      <c r="A2" s="2" t="s">
        <v>1</v>
      </c>
      <c r="B2" s="2" t="s">
        <v>79</v>
      </c>
      <c r="C2" s="5">
        <v>76338</v>
      </c>
      <c r="D2" s="5">
        <v>283939</v>
      </c>
      <c r="E2" s="5">
        <v>201254</v>
      </c>
      <c r="F2" s="5">
        <v>1646338</v>
      </c>
      <c r="G2" s="5">
        <v>1817007</v>
      </c>
      <c r="H2" s="5">
        <v>1817011</v>
      </c>
      <c r="I2" s="5">
        <v>1776635</v>
      </c>
      <c r="J2" s="5">
        <v>1751503</v>
      </c>
      <c r="K2" s="5">
        <v>1822608</v>
      </c>
      <c r="L2" s="5">
        <v>1791719</v>
      </c>
      <c r="M2" s="5">
        <v>2132129</v>
      </c>
      <c r="N2" s="5">
        <v>2126292</v>
      </c>
      <c r="O2" s="5">
        <v>2242720</v>
      </c>
      <c r="P2" s="5">
        <v>2214651</v>
      </c>
      <c r="Q2" s="5">
        <v>2306928</v>
      </c>
      <c r="R2" s="5">
        <v>2419700</v>
      </c>
      <c r="S2" s="5">
        <v>2922235</v>
      </c>
      <c r="T2" s="5">
        <v>3185801</v>
      </c>
      <c r="U2" s="5">
        <v>3139961</v>
      </c>
      <c r="V2" s="5">
        <v>3217855</v>
      </c>
      <c r="W2" s="5">
        <v>3570970</v>
      </c>
      <c r="X2" s="5">
        <v>3593784</v>
      </c>
      <c r="Y2" s="5">
        <v>3661164</v>
      </c>
      <c r="Z2" s="5">
        <v>3658556</v>
      </c>
      <c r="AA2" s="5">
        <v>3672299</v>
      </c>
      <c r="AB2" s="5">
        <v>3276815</v>
      </c>
      <c r="AC2" s="5">
        <v>3170430</v>
      </c>
      <c r="AD2" s="5">
        <v>2961765</v>
      </c>
      <c r="AE2" s="5">
        <v>2922542</v>
      </c>
      <c r="AF2" s="5">
        <v>2883862</v>
      </c>
      <c r="AG2" s="5">
        <v>2801880</v>
      </c>
      <c r="AH2" s="5">
        <v>2734161</v>
      </c>
      <c r="AI2" s="5">
        <v>2693304</v>
      </c>
    </row>
    <row r="3" spans="1:35" x14ac:dyDescent="0.25">
      <c r="A3" s="2" t="s">
        <v>0</v>
      </c>
      <c r="B3" s="2" t="s">
        <v>161</v>
      </c>
      <c r="C3" s="1"/>
      <c r="D3" s="5">
        <v>38450</v>
      </c>
      <c r="E3" s="1"/>
      <c r="F3" s="5">
        <v>171840</v>
      </c>
      <c r="G3" s="5">
        <v>178404</v>
      </c>
      <c r="H3" s="5">
        <v>178406</v>
      </c>
      <c r="I3" s="5">
        <v>174442</v>
      </c>
      <c r="J3" s="5">
        <v>169684</v>
      </c>
      <c r="K3" s="5">
        <v>176572</v>
      </c>
      <c r="L3" s="5">
        <v>173578</v>
      </c>
      <c r="M3" s="5">
        <v>206559</v>
      </c>
      <c r="N3" s="5">
        <v>205993</v>
      </c>
      <c r="O3" s="5">
        <v>217271</v>
      </c>
      <c r="P3" s="5">
        <v>214552</v>
      </c>
      <c r="Q3" s="5">
        <v>223489</v>
      </c>
      <c r="R3" s="5">
        <v>234412</v>
      </c>
      <c r="S3" s="5">
        <v>254796</v>
      </c>
      <c r="T3" s="5">
        <v>555555</v>
      </c>
      <c r="U3" s="5">
        <v>547563</v>
      </c>
      <c r="V3" s="5">
        <v>561146</v>
      </c>
      <c r="W3" s="5">
        <v>622719</v>
      </c>
      <c r="X3" s="5">
        <v>626703</v>
      </c>
      <c r="Y3" s="5">
        <v>638453</v>
      </c>
      <c r="Z3" s="5">
        <v>1275992</v>
      </c>
      <c r="AA3" s="5">
        <v>1296738</v>
      </c>
      <c r="AB3" s="5">
        <v>1151282</v>
      </c>
      <c r="AC3" s="5">
        <v>1113907</v>
      </c>
      <c r="AD3" s="5">
        <v>1040593</v>
      </c>
      <c r="AE3" s="5">
        <v>1026818</v>
      </c>
      <c r="AF3" s="5">
        <v>1013223</v>
      </c>
      <c r="AG3" s="5">
        <v>984419</v>
      </c>
      <c r="AH3" s="5">
        <v>960626</v>
      </c>
      <c r="AI3" s="5">
        <v>946272</v>
      </c>
    </row>
    <row r="4" spans="1:35" x14ac:dyDescent="0.25">
      <c r="A4" s="2" t="s">
        <v>4</v>
      </c>
      <c r="B4" s="2" t="s">
        <v>82</v>
      </c>
      <c r="C4" s="5">
        <v>6193</v>
      </c>
      <c r="D4" s="5">
        <v>24366</v>
      </c>
      <c r="E4" s="5">
        <v>34834</v>
      </c>
      <c r="F4" s="5">
        <v>279897</v>
      </c>
      <c r="G4" s="5">
        <v>361802</v>
      </c>
      <c r="H4" s="5">
        <v>361802</v>
      </c>
      <c r="I4" s="5">
        <v>353762</v>
      </c>
      <c r="J4" s="5">
        <v>344121</v>
      </c>
      <c r="K4" s="5">
        <v>358090</v>
      </c>
      <c r="L4" s="5">
        <v>352021</v>
      </c>
      <c r="M4" s="5">
        <v>418903</v>
      </c>
      <c r="N4" s="5">
        <v>417756</v>
      </c>
      <c r="O4" s="5">
        <v>440630</v>
      </c>
      <c r="P4" s="5">
        <v>435114</v>
      </c>
      <c r="Q4" s="5">
        <v>453240</v>
      </c>
      <c r="R4" s="5">
        <v>475394</v>
      </c>
      <c r="S4" s="5">
        <v>497559</v>
      </c>
      <c r="T4" s="5">
        <v>542436</v>
      </c>
      <c r="U4" s="5">
        <v>534632</v>
      </c>
      <c r="V4" s="5">
        <v>547893</v>
      </c>
      <c r="W4" s="5">
        <v>608016</v>
      </c>
      <c r="X4" s="5">
        <v>611904</v>
      </c>
      <c r="Y4" s="5">
        <v>668405</v>
      </c>
      <c r="Z4" s="5">
        <v>667932</v>
      </c>
      <c r="AA4" s="5">
        <v>678794</v>
      </c>
      <c r="AB4" s="5">
        <v>602652</v>
      </c>
      <c r="AC4" s="5">
        <v>586750</v>
      </c>
      <c r="AD4" s="5">
        <v>548134</v>
      </c>
      <c r="AE4" s="5">
        <v>540875</v>
      </c>
      <c r="AF4" s="5">
        <v>533717</v>
      </c>
      <c r="AG4" s="5">
        <v>518543</v>
      </c>
      <c r="AH4" s="5">
        <v>506011</v>
      </c>
      <c r="AI4" s="5">
        <v>498451</v>
      </c>
    </row>
    <row r="5" spans="1:35" x14ac:dyDescent="0.25">
      <c r="A5" s="2" t="s">
        <v>3</v>
      </c>
      <c r="B5" s="2" t="s">
        <v>81</v>
      </c>
      <c r="C5" s="5">
        <v>20876</v>
      </c>
      <c r="D5" s="5">
        <v>83860</v>
      </c>
      <c r="E5" s="5">
        <v>47353</v>
      </c>
      <c r="F5" s="5">
        <v>367434</v>
      </c>
      <c r="G5" s="5">
        <v>384223</v>
      </c>
      <c r="H5" s="5">
        <v>384219</v>
      </c>
      <c r="I5" s="5">
        <v>375679</v>
      </c>
      <c r="J5" s="5">
        <v>365447</v>
      </c>
      <c r="K5" s="5">
        <v>380284</v>
      </c>
      <c r="L5" s="5">
        <v>373842</v>
      </c>
      <c r="M5" s="5">
        <v>444864</v>
      </c>
      <c r="N5" s="5">
        <v>443645</v>
      </c>
      <c r="O5" s="5">
        <v>467934</v>
      </c>
      <c r="P5" s="5">
        <v>462080</v>
      </c>
      <c r="Q5" s="5">
        <v>481331</v>
      </c>
      <c r="R5" s="5">
        <v>504860</v>
      </c>
      <c r="S5" s="5">
        <v>548753</v>
      </c>
      <c r="T5" s="5">
        <v>598247</v>
      </c>
      <c r="U5" s="5">
        <v>589639</v>
      </c>
      <c r="V5" s="5">
        <v>604268</v>
      </c>
      <c r="W5" s="5">
        <v>670580</v>
      </c>
      <c r="X5" s="5">
        <v>674859</v>
      </c>
      <c r="Y5" s="5">
        <v>687512</v>
      </c>
      <c r="Z5" s="5">
        <v>687020</v>
      </c>
      <c r="AA5" s="5">
        <v>698193</v>
      </c>
      <c r="AB5" s="5">
        <v>619880</v>
      </c>
      <c r="AC5" s="5">
        <v>599752</v>
      </c>
      <c r="AD5" s="5">
        <v>560279</v>
      </c>
      <c r="AE5" s="5">
        <v>552859</v>
      </c>
      <c r="AF5" s="5">
        <v>545542</v>
      </c>
      <c r="AG5" s="5">
        <v>530032</v>
      </c>
      <c r="AH5" s="5">
        <v>517223</v>
      </c>
      <c r="AI5" s="5">
        <v>509494</v>
      </c>
    </row>
    <row r="6" spans="1:35" x14ac:dyDescent="0.25">
      <c r="A6" s="2" t="s">
        <v>2</v>
      </c>
      <c r="B6" s="2" t="s">
        <v>162</v>
      </c>
      <c r="C6" s="5">
        <v>7109</v>
      </c>
      <c r="D6" s="5">
        <v>28556</v>
      </c>
      <c r="E6" s="5">
        <v>16124</v>
      </c>
      <c r="F6" s="5">
        <v>124699</v>
      </c>
      <c r="G6" s="5">
        <v>129461</v>
      </c>
      <c r="H6" s="5">
        <v>129463</v>
      </c>
      <c r="I6" s="5">
        <v>126587</v>
      </c>
      <c r="J6" s="5">
        <v>123134</v>
      </c>
      <c r="K6" s="5">
        <v>128131</v>
      </c>
      <c r="L6" s="5">
        <v>125959</v>
      </c>
      <c r="M6" s="5">
        <v>149894</v>
      </c>
      <c r="N6" s="5">
        <v>149482</v>
      </c>
      <c r="O6" s="5">
        <v>157670</v>
      </c>
      <c r="P6" s="5">
        <v>155696</v>
      </c>
      <c r="Q6" s="5">
        <v>162185</v>
      </c>
      <c r="R6" s="5">
        <v>170116</v>
      </c>
      <c r="S6" s="5">
        <v>184898</v>
      </c>
      <c r="T6" s="5">
        <v>403148</v>
      </c>
      <c r="U6" s="5">
        <v>397348</v>
      </c>
      <c r="V6" s="5">
        <v>407206</v>
      </c>
      <c r="W6" s="5">
        <v>451893</v>
      </c>
      <c r="X6" s="5">
        <v>454779</v>
      </c>
      <c r="Y6" s="5">
        <v>463306</v>
      </c>
      <c r="Z6" s="5">
        <v>925950</v>
      </c>
      <c r="AA6" s="5">
        <v>941003</v>
      </c>
      <c r="AB6" s="5">
        <v>835449</v>
      </c>
      <c r="AC6" s="5">
        <v>808325</v>
      </c>
      <c r="AD6" s="5">
        <v>755126</v>
      </c>
      <c r="AE6" s="5">
        <v>745125</v>
      </c>
      <c r="AF6" s="5">
        <v>735264</v>
      </c>
      <c r="AG6" s="5">
        <v>714364</v>
      </c>
      <c r="AH6" s="5">
        <v>697096</v>
      </c>
      <c r="AI6" s="5">
        <v>686679</v>
      </c>
    </row>
    <row r="7" spans="1:35" x14ac:dyDescent="0.25">
      <c r="A7" s="2" t="s">
        <v>8</v>
      </c>
      <c r="B7" s="2" t="s">
        <v>86</v>
      </c>
      <c r="C7" s="1"/>
      <c r="D7" s="1"/>
      <c r="E7" s="5">
        <v>10677</v>
      </c>
      <c r="F7" s="5">
        <v>77783</v>
      </c>
      <c r="G7" s="5">
        <v>80755</v>
      </c>
      <c r="H7" s="5">
        <v>80753</v>
      </c>
      <c r="I7" s="5">
        <v>78957</v>
      </c>
      <c r="J7" s="5">
        <v>76808</v>
      </c>
      <c r="K7" s="5">
        <v>79927</v>
      </c>
      <c r="L7" s="5">
        <v>78571</v>
      </c>
      <c r="M7" s="5">
        <v>249333</v>
      </c>
      <c r="N7" s="5">
        <v>248649</v>
      </c>
      <c r="O7" s="5">
        <v>262262</v>
      </c>
      <c r="P7" s="5">
        <v>258981</v>
      </c>
      <c r="Q7" s="5">
        <v>269772</v>
      </c>
      <c r="R7" s="5">
        <v>282961</v>
      </c>
      <c r="S7" s="5">
        <v>307557</v>
      </c>
      <c r="T7" s="5">
        <v>335297</v>
      </c>
      <c r="U7" s="5">
        <v>330473</v>
      </c>
      <c r="V7" s="5">
        <v>338669</v>
      </c>
      <c r="W7" s="5">
        <v>375838</v>
      </c>
      <c r="X7" s="5">
        <v>378234</v>
      </c>
      <c r="Y7" s="5">
        <v>385327</v>
      </c>
      <c r="Z7" s="5">
        <v>385056</v>
      </c>
      <c r="AA7" s="5">
        <v>391313</v>
      </c>
      <c r="AB7" s="5">
        <v>347421</v>
      </c>
      <c r="AC7" s="5">
        <v>336140</v>
      </c>
      <c r="AD7" s="5">
        <v>314018</v>
      </c>
      <c r="AE7" s="5">
        <v>309862</v>
      </c>
      <c r="AF7" s="5">
        <v>305758</v>
      </c>
      <c r="AG7" s="5">
        <v>297068</v>
      </c>
      <c r="AH7" s="5">
        <v>289886</v>
      </c>
      <c r="AI7" s="5">
        <v>285555</v>
      </c>
    </row>
    <row r="8" spans="1:35" x14ac:dyDescent="0.25">
      <c r="A8" s="2" t="s">
        <v>5</v>
      </c>
      <c r="B8" s="2" t="s">
        <v>163</v>
      </c>
      <c r="C8" s="1"/>
      <c r="D8" s="5">
        <v>14086</v>
      </c>
      <c r="E8" s="5">
        <v>23861</v>
      </c>
      <c r="F8" s="5">
        <v>184530</v>
      </c>
      <c r="G8" s="5">
        <v>442338</v>
      </c>
      <c r="H8" s="5">
        <v>442342</v>
      </c>
      <c r="I8" s="5">
        <v>432514</v>
      </c>
      <c r="J8" s="5">
        <v>420720</v>
      </c>
      <c r="K8" s="5">
        <v>437801</v>
      </c>
      <c r="L8" s="5">
        <v>430384</v>
      </c>
      <c r="M8" s="5">
        <v>512148</v>
      </c>
      <c r="N8" s="5">
        <v>510747</v>
      </c>
      <c r="O8" s="5">
        <v>538712</v>
      </c>
      <c r="P8" s="5">
        <v>531972</v>
      </c>
      <c r="Q8" s="5">
        <v>554139</v>
      </c>
      <c r="R8" s="5">
        <v>581232</v>
      </c>
      <c r="S8" s="5">
        <v>621678</v>
      </c>
      <c r="T8" s="5">
        <v>677750</v>
      </c>
      <c r="U8" s="5">
        <v>667998</v>
      </c>
      <c r="V8" s="5">
        <v>1369138</v>
      </c>
      <c r="W8" s="5">
        <v>1519376</v>
      </c>
      <c r="X8" s="5">
        <v>1529086</v>
      </c>
      <c r="Y8" s="5">
        <v>1582777</v>
      </c>
      <c r="Z8" s="5">
        <v>1581652</v>
      </c>
      <c r="AA8" s="5">
        <v>1607363</v>
      </c>
      <c r="AB8" s="5">
        <v>1427066</v>
      </c>
      <c r="AC8" s="5">
        <v>1498994</v>
      </c>
      <c r="AD8" s="5">
        <v>1400335</v>
      </c>
      <c r="AE8" s="5">
        <v>1381786</v>
      </c>
      <c r="AF8" s="5">
        <v>1363502</v>
      </c>
      <c r="AG8" s="5">
        <v>1324739</v>
      </c>
      <c r="AH8" s="5">
        <v>1292722</v>
      </c>
      <c r="AI8" s="5">
        <v>1241511</v>
      </c>
    </row>
    <row r="9" spans="1:35" x14ac:dyDescent="0.25">
      <c r="A9" s="2" t="s">
        <v>7</v>
      </c>
      <c r="B9" s="2" t="s">
        <v>85</v>
      </c>
      <c r="C9" s="5">
        <v>9274</v>
      </c>
      <c r="D9" s="5">
        <v>37253</v>
      </c>
      <c r="E9" s="5">
        <v>18023</v>
      </c>
      <c r="F9" s="5">
        <v>405273</v>
      </c>
      <c r="G9" s="5">
        <v>429194</v>
      </c>
      <c r="H9" s="5">
        <v>429198</v>
      </c>
      <c r="I9" s="5">
        <v>419662</v>
      </c>
      <c r="J9" s="5">
        <v>408218</v>
      </c>
      <c r="K9" s="5">
        <v>424789</v>
      </c>
      <c r="L9" s="5">
        <v>417589</v>
      </c>
      <c r="M9" s="5">
        <v>487927</v>
      </c>
      <c r="N9" s="5">
        <v>805010</v>
      </c>
      <c r="O9" s="5">
        <v>849086</v>
      </c>
      <c r="P9" s="5">
        <v>472808</v>
      </c>
      <c r="Q9" s="5">
        <v>492509</v>
      </c>
      <c r="R9" s="5">
        <v>516588</v>
      </c>
      <c r="S9" s="5">
        <v>561491</v>
      </c>
      <c r="T9" s="5">
        <v>612134</v>
      </c>
      <c r="U9" s="5">
        <v>603326</v>
      </c>
      <c r="V9" s="5">
        <v>618293</v>
      </c>
      <c r="W9" s="5">
        <v>686139</v>
      </c>
      <c r="X9" s="5">
        <v>690528</v>
      </c>
      <c r="Y9" s="5">
        <v>689727</v>
      </c>
      <c r="Z9" s="5">
        <v>689235</v>
      </c>
      <c r="AA9" s="5">
        <v>700441</v>
      </c>
      <c r="AB9" s="5">
        <v>621871</v>
      </c>
      <c r="AC9" s="5">
        <v>587116</v>
      </c>
      <c r="AD9" s="5">
        <v>548472</v>
      </c>
      <c r="AE9" s="5">
        <v>541210</v>
      </c>
      <c r="AF9" s="5">
        <v>519128</v>
      </c>
      <c r="AG9" s="5">
        <v>504369</v>
      </c>
      <c r="AH9" s="5">
        <v>492180</v>
      </c>
      <c r="AI9" s="5">
        <v>473352</v>
      </c>
    </row>
    <row r="10" spans="1:35" x14ac:dyDescent="0.25">
      <c r="A10" s="2" t="s">
        <v>6</v>
      </c>
      <c r="B10" s="2" t="s">
        <v>84</v>
      </c>
      <c r="C10" s="5">
        <v>2673</v>
      </c>
      <c r="D10" s="5">
        <v>10441</v>
      </c>
      <c r="E10" s="5">
        <v>6302</v>
      </c>
      <c r="F10" s="5">
        <v>219660</v>
      </c>
      <c r="G10" s="5">
        <v>228053</v>
      </c>
      <c r="H10" s="5">
        <v>228053</v>
      </c>
      <c r="I10" s="5">
        <v>222985</v>
      </c>
      <c r="J10" s="5">
        <v>216895</v>
      </c>
      <c r="K10" s="5">
        <v>225701</v>
      </c>
      <c r="L10" s="5">
        <v>221876</v>
      </c>
      <c r="M10" s="5">
        <v>264029</v>
      </c>
      <c r="N10" s="5">
        <v>263308</v>
      </c>
      <c r="O10" s="5">
        <v>277722</v>
      </c>
      <c r="P10" s="5">
        <v>265141</v>
      </c>
      <c r="Q10" s="5">
        <v>276193</v>
      </c>
      <c r="R10" s="5">
        <v>289690</v>
      </c>
      <c r="S10" s="5">
        <v>314871</v>
      </c>
      <c r="T10" s="5">
        <v>343270</v>
      </c>
      <c r="U10" s="5">
        <v>338330</v>
      </c>
      <c r="V10" s="5">
        <v>367584</v>
      </c>
      <c r="W10" s="5">
        <v>815844</v>
      </c>
      <c r="X10" s="5">
        <v>849271</v>
      </c>
      <c r="Y10" s="5">
        <v>865193</v>
      </c>
      <c r="Z10" s="5">
        <v>864575</v>
      </c>
      <c r="AA10" s="5">
        <v>1098293</v>
      </c>
      <c r="AB10" s="5">
        <v>975099</v>
      </c>
      <c r="AC10" s="5">
        <v>919722</v>
      </c>
      <c r="AD10" s="5">
        <v>859189</v>
      </c>
      <c r="AE10" s="5">
        <v>847814</v>
      </c>
      <c r="AF10" s="5">
        <v>836589</v>
      </c>
      <c r="AG10" s="5">
        <v>812805</v>
      </c>
      <c r="AH10" s="5">
        <v>793162</v>
      </c>
      <c r="AI10" s="5">
        <v>1176281</v>
      </c>
    </row>
    <row r="11" spans="1:35" x14ac:dyDescent="0.25">
      <c r="A11" s="2" t="s">
        <v>9</v>
      </c>
      <c r="B11" s="2" t="s">
        <v>87</v>
      </c>
      <c r="C11" s="5">
        <v>2297</v>
      </c>
      <c r="D11" s="5">
        <v>9228</v>
      </c>
      <c r="E11" s="5">
        <v>5106</v>
      </c>
      <c r="F11" s="5">
        <v>142319</v>
      </c>
      <c r="G11" s="5">
        <v>160709</v>
      </c>
      <c r="H11" s="5">
        <v>160707</v>
      </c>
      <c r="I11" s="5">
        <v>157135</v>
      </c>
      <c r="J11" s="5">
        <v>140414</v>
      </c>
      <c r="K11" s="5">
        <v>146114</v>
      </c>
      <c r="L11" s="5">
        <v>143641</v>
      </c>
      <c r="M11" s="5">
        <v>170928</v>
      </c>
      <c r="N11" s="5">
        <v>170460</v>
      </c>
      <c r="O11" s="5">
        <v>179794</v>
      </c>
      <c r="P11" s="5">
        <v>177544</v>
      </c>
      <c r="Q11" s="5">
        <v>184942</v>
      </c>
      <c r="R11" s="5">
        <v>193984</v>
      </c>
      <c r="S11" s="5">
        <v>197384</v>
      </c>
      <c r="T11" s="5">
        <v>215187</v>
      </c>
      <c r="U11" s="5">
        <v>212091</v>
      </c>
      <c r="V11" s="5">
        <v>219786</v>
      </c>
      <c r="W11" s="5">
        <v>243907</v>
      </c>
      <c r="X11" s="5">
        <v>245464</v>
      </c>
      <c r="Y11" s="5">
        <v>235539</v>
      </c>
      <c r="Z11" s="5">
        <v>235368</v>
      </c>
      <c r="AA11" s="5">
        <v>239193</v>
      </c>
      <c r="AB11" s="5">
        <v>212363</v>
      </c>
      <c r="AC11" s="5">
        <v>205471</v>
      </c>
      <c r="AD11" s="5">
        <v>191945</v>
      </c>
      <c r="AE11" s="5">
        <v>189407</v>
      </c>
      <c r="AF11" s="5">
        <v>186897</v>
      </c>
      <c r="AG11" s="5">
        <v>181582</v>
      </c>
      <c r="AH11" s="5">
        <v>177195</v>
      </c>
      <c r="AI11" s="5">
        <v>174548</v>
      </c>
    </row>
    <row r="12" spans="1:35" x14ac:dyDescent="0.25">
      <c r="A12" s="2" t="s">
        <v>10</v>
      </c>
      <c r="B12" s="2" t="s">
        <v>164</v>
      </c>
      <c r="C12" s="5">
        <v>2593</v>
      </c>
      <c r="D12" s="5">
        <v>12120</v>
      </c>
      <c r="E12" s="5">
        <v>17648</v>
      </c>
      <c r="F12" s="5">
        <v>136481</v>
      </c>
      <c r="G12" s="5">
        <v>283384</v>
      </c>
      <c r="H12" s="5">
        <v>283386</v>
      </c>
      <c r="I12" s="5">
        <v>277090</v>
      </c>
      <c r="J12" s="5">
        <v>269536</v>
      </c>
      <c r="K12" s="5">
        <v>280476</v>
      </c>
      <c r="L12" s="5">
        <v>275721</v>
      </c>
      <c r="M12" s="5">
        <v>328109</v>
      </c>
      <c r="N12" s="5">
        <v>327212</v>
      </c>
      <c r="O12" s="5">
        <v>345126</v>
      </c>
      <c r="P12" s="5">
        <v>340810</v>
      </c>
      <c r="Q12" s="5">
        <v>355012</v>
      </c>
      <c r="R12" s="5">
        <v>372370</v>
      </c>
      <c r="S12" s="5">
        <v>397098</v>
      </c>
      <c r="T12" s="5">
        <v>432915</v>
      </c>
      <c r="U12" s="5">
        <v>426687</v>
      </c>
      <c r="V12" s="5">
        <v>874540</v>
      </c>
      <c r="W12" s="5">
        <v>970509</v>
      </c>
      <c r="X12" s="5">
        <v>976713</v>
      </c>
      <c r="Y12" s="5">
        <v>1014153</v>
      </c>
      <c r="Z12" s="5">
        <v>1013428</v>
      </c>
      <c r="AA12" s="5">
        <v>1029908</v>
      </c>
      <c r="AB12" s="5">
        <v>914383</v>
      </c>
      <c r="AC12" s="5">
        <v>960467</v>
      </c>
      <c r="AD12" s="5">
        <v>897255</v>
      </c>
      <c r="AE12" s="5">
        <v>885377</v>
      </c>
      <c r="AF12" s="5">
        <v>873654</v>
      </c>
      <c r="AG12" s="5">
        <v>848818</v>
      </c>
      <c r="AH12" s="5">
        <v>828303</v>
      </c>
      <c r="AI12" s="5">
        <v>797151</v>
      </c>
    </row>
    <row r="13" spans="1:35" x14ac:dyDescent="0.25">
      <c r="A13" s="2" t="s">
        <v>11</v>
      </c>
      <c r="B13" s="2" t="s">
        <v>89</v>
      </c>
      <c r="C13" s="5">
        <v>4449</v>
      </c>
      <c r="D13" s="5">
        <v>17872</v>
      </c>
      <c r="E13" s="5">
        <v>8764</v>
      </c>
      <c r="F13" s="5">
        <v>81832</v>
      </c>
      <c r="G13" s="5">
        <v>86397</v>
      </c>
      <c r="H13" s="5">
        <v>86397</v>
      </c>
      <c r="I13" s="5">
        <v>84477</v>
      </c>
      <c r="J13" s="5">
        <v>82175</v>
      </c>
      <c r="K13" s="5">
        <v>85508</v>
      </c>
      <c r="L13" s="5">
        <v>84059</v>
      </c>
      <c r="M13" s="5">
        <v>100032</v>
      </c>
      <c r="N13" s="5">
        <v>99758</v>
      </c>
      <c r="O13" s="5">
        <v>105224</v>
      </c>
      <c r="P13" s="5">
        <v>103904</v>
      </c>
      <c r="Q13" s="5">
        <v>108233</v>
      </c>
      <c r="R13" s="5">
        <v>113524</v>
      </c>
      <c r="S13" s="5">
        <v>123393</v>
      </c>
      <c r="T13" s="5">
        <v>134522</v>
      </c>
      <c r="U13" s="5">
        <v>132586</v>
      </c>
      <c r="V13" s="5">
        <v>135873</v>
      </c>
      <c r="W13" s="5">
        <v>150790</v>
      </c>
      <c r="X13" s="5">
        <v>151751</v>
      </c>
      <c r="Y13" s="5">
        <v>154594</v>
      </c>
      <c r="Z13" s="5">
        <v>154482</v>
      </c>
      <c r="AA13" s="5">
        <v>176677</v>
      </c>
      <c r="AB13" s="5">
        <v>156859</v>
      </c>
      <c r="AC13" s="5">
        <v>151769</v>
      </c>
      <c r="AD13" s="5">
        <v>141779</v>
      </c>
      <c r="AE13" s="5">
        <v>139904</v>
      </c>
      <c r="AF13" s="5">
        <v>138049</v>
      </c>
      <c r="AG13" s="5">
        <v>134127</v>
      </c>
      <c r="AH13" s="5">
        <v>130883</v>
      </c>
      <c r="AI13" s="5">
        <v>128928</v>
      </c>
    </row>
    <row r="14" spans="1:35" x14ac:dyDescent="0.25">
      <c r="A14" s="2" t="s">
        <v>12</v>
      </c>
      <c r="B14" s="2" t="s">
        <v>90</v>
      </c>
      <c r="C14" s="5">
        <v>3106</v>
      </c>
      <c r="D14" s="5">
        <v>12476</v>
      </c>
      <c r="E14" s="5">
        <v>14234</v>
      </c>
      <c r="F14" s="5">
        <v>111935</v>
      </c>
      <c r="G14" s="5">
        <v>119960</v>
      </c>
      <c r="H14" s="5">
        <v>239930</v>
      </c>
      <c r="I14" s="5">
        <v>234598</v>
      </c>
      <c r="J14" s="5">
        <v>228193</v>
      </c>
      <c r="K14" s="5">
        <v>237456</v>
      </c>
      <c r="L14" s="5">
        <v>233430</v>
      </c>
      <c r="M14" s="5">
        <v>280656</v>
      </c>
      <c r="N14" s="5">
        <v>279888</v>
      </c>
      <c r="O14" s="5">
        <v>295210</v>
      </c>
      <c r="P14" s="5">
        <v>291521</v>
      </c>
      <c r="Q14" s="5">
        <v>303671</v>
      </c>
      <c r="R14" s="5">
        <v>318516</v>
      </c>
      <c r="S14" s="5">
        <v>366463</v>
      </c>
      <c r="T14" s="5">
        <v>399516</v>
      </c>
      <c r="U14" s="5">
        <v>393768</v>
      </c>
      <c r="V14" s="5">
        <v>413974</v>
      </c>
      <c r="W14" s="5">
        <v>459406</v>
      </c>
      <c r="X14" s="5">
        <v>462333</v>
      </c>
      <c r="Y14" s="5">
        <v>471003</v>
      </c>
      <c r="Z14" s="5">
        <v>470667</v>
      </c>
      <c r="AA14" s="5">
        <v>478321</v>
      </c>
      <c r="AB14" s="5">
        <v>424663</v>
      </c>
      <c r="AC14" s="5">
        <v>410879</v>
      </c>
      <c r="AD14" s="5">
        <v>383837</v>
      </c>
      <c r="AE14" s="5">
        <v>378752</v>
      </c>
      <c r="AF14" s="5">
        <v>373741</v>
      </c>
      <c r="AG14" s="5">
        <v>363115</v>
      </c>
      <c r="AH14" s="5">
        <v>354340</v>
      </c>
      <c r="AI14" s="5">
        <v>349045</v>
      </c>
    </row>
    <row r="15" spans="1:35" x14ac:dyDescent="0.25">
      <c r="A15" s="2" t="s">
        <v>14</v>
      </c>
      <c r="B15" s="2" t="s">
        <v>92</v>
      </c>
      <c r="C15" s="5">
        <v>2802</v>
      </c>
      <c r="D15" s="5">
        <v>11255</v>
      </c>
      <c r="E15" s="5">
        <v>6352</v>
      </c>
      <c r="F15" s="5">
        <v>49129</v>
      </c>
      <c r="G15" s="5">
        <v>67066</v>
      </c>
      <c r="H15" s="5">
        <v>67062</v>
      </c>
      <c r="I15" s="5">
        <v>65570</v>
      </c>
      <c r="J15" s="5">
        <v>63789</v>
      </c>
      <c r="K15" s="5">
        <v>66377</v>
      </c>
      <c r="L15" s="5">
        <v>65252</v>
      </c>
      <c r="M15" s="5">
        <v>77650</v>
      </c>
      <c r="N15" s="5">
        <v>77438</v>
      </c>
      <c r="O15" s="5">
        <v>81679</v>
      </c>
      <c r="P15" s="5">
        <v>80654</v>
      </c>
      <c r="Q15" s="5">
        <v>84011</v>
      </c>
      <c r="R15" s="5">
        <v>88114</v>
      </c>
      <c r="S15" s="5">
        <v>95786</v>
      </c>
      <c r="T15" s="5">
        <v>104424</v>
      </c>
      <c r="U15" s="5">
        <v>102920</v>
      </c>
      <c r="V15" s="5">
        <v>105473</v>
      </c>
      <c r="W15" s="5">
        <v>117051</v>
      </c>
      <c r="X15" s="5">
        <v>117796</v>
      </c>
      <c r="Y15" s="5">
        <v>120010</v>
      </c>
      <c r="Z15" s="5">
        <v>119922</v>
      </c>
      <c r="AA15" s="5">
        <v>121868</v>
      </c>
      <c r="AB15" s="5">
        <v>108197</v>
      </c>
      <c r="AC15" s="5">
        <v>107928</v>
      </c>
      <c r="AD15" s="5">
        <v>100822</v>
      </c>
      <c r="AE15" s="5">
        <v>99486</v>
      </c>
      <c r="AF15" s="5">
        <v>98171</v>
      </c>
      <c r="AG15" s="5">
        <v>95379</v>
      </c>
      <c r="AH15" s="5">
        <v>93075</v>
      </c>
      <c r="AI15" s="5">
        <v>91684</v>
      </c>
    </row>
    <row r="16" spans="1:35" x14ac:dyDescent="0.25">
      <c r="A16" s="2" t="s">
        <v>13</v>
      </c>
      <c r="B16" s="2" t="s">
        <v>91</v>
      </c>
      <c r="C16" s="1"/>
      <c r="D16" s="1"/>
      <c r="E16" s="1"/>
      <c r="F16" s="5">
        <v>103298</v>
      </c>
      <c r="G16" s="5">
        <v>214485</v>
      </c>
      <c r="H16" s="5">
        <v>214481</v>
      </c>
      <c r="I16" s="5">
        <v>209713</v>
      </c>
      <c r="J16" s="5">
        <v>204004</v>
      </c>
      <c r="K16" s="5">
        <v>216859</v>
      </c>
      <c r="L16" s="5">
        <v>213181</v>
      </c>
      <c r="M16" s="5">
        <v>267237</v>
      </c>
      <c r="N16" s="5">
        <v>266506</v>
      </c>
      <c r="O16" s="5">
        <v>281096</v>
      </c>
      <c r="P16" s="5">
        <v>277579</v>
      </c>
      <c r="Q16" s="5">
        <v>578288</v>
      </c>
      <c r="R16" s="5">
        <v>606558</v>
      </c>
      <c r="S16" s="5">
        <v>659287</v>
      </c>
      <c r="T16" s="5">
        <v>718752</v>
      </c>
      <c r="U16" s="5">
        <v>708412</v>
      </c>
      <c r="V16" s="5">
        <v>725983</v>
      </c>
      <c r="W16" s="5">
        <v>805655</v>
      </c>
      <c r="X16" s="5">
        <v>822005</v>
      </c>
      <c r="Y16" s="5">
        <v>1256127</v>
      </c>
      <c r="Z16" s="5">
        <v>1255234</v>
      </c>
      <c r="AA16" s="5">
        <v>1275643</v>
      </c>
      <c r="AB16" s="5">
        <v>1132555</v>
      </c>
      <c r="AC16" s="5">
        <v>1095785</v>
      </c>
      <c r="AD16" s="5">
        <v>1023664</v>
      </c>
      <c r="AE16" s="5">
        <v>1010109</v>
      </c>
      <c r="AF16" s="5">
        <v>996738</v>
      </c>
      <c r="AG16" s="5">
        <v>968404</v>
      </c>
      <c r="AH16" s="5">
        <v>944998</v>
      </c>
      <c r="AI16" s="5">
        <v>930876</v>
      </c>
    </row>
    <row r="17" spans="1:35" x14ac:dyDescent="0.25">
      <c r="A17" s="2" t="s">
        <v>15</v>
      </c>
      <c r="B17" s="2" t="s">
        <v>93</v>
      </c>
      <c r="C17" s="5">
        <v>7156</v>
      </c>
      <c r="D17" s="5">
        <v>28747</v>
      </c>
      <c r="E17" s="5">
        <v>16244</v>
      </c>
      <c r="F17" s="1"/>
      <c r="G17" s="1"/>
      <c r="H17" s="1"/>
      <c r="I17" s="1"/>
      <c r="J17" s="5">
        <v>262251</v>
      </c>
      <c r="K17" s="5">
        <v>272899</v>
      </c>
      <c r="L17" s="5">
        <v>268273</v>
      </c>
      <c r="M17" s="5">
        <v>319242</v>
      </c>
      <c r="N17" s="5">
        <v>318368</v>
      </c>
      <c r="O17" s="5">
        <v>335798</v>
      </c>
      <c r="P17" s="5">
        <v>331596</v>
      </c>
      <c r="Q17" s="5">
        <v>345411</v>
      </c>
      <c r="R17" s="5">
        <v>362296</v>
      </c>
      <c r="S17" s="5">
        <v>393793</v>
      </c>
      <c r="T17" s="5">
        <v>429312</v>
      </c>
      <c r="U17" s="5">
        <v>423136</v>
      </c>
      <c r="V17" s="5">
        <v>433632</v>
      </c>
      <c r="W17" s="5">
        <v>481220</v>
      </c>
      <c r="X17" s="5">
        <v>524700</v>
      </c>
      <c r="Y17" s="5">
        <v>534541</v>
      </c>
      <c r="Z17" s="5">
        <v>534158</v>
      </c>
      <c r="AA17" s="5">
        <v>542845</v>
      </c>
      <c r="AB17" s="5">
        <v>481950</v>
      </c>
      <c r="AC17" s="5">
        <v>280920</v>
      </c>
      <c r="AD17" s="5">
        <v>462376</v>
      </c>
      <c r="AE17" s="5">
        <v>456250</v>
      </c>
      <c r="AF17" s="5">
        <v>830951</v>
      </c>
      <c r="AG17" s="5">
        <v>807330</v>
      </c>
      <c r="AH17" s="5">
        <v>787816</v>
      </c>
      <c r="AI17" s="5">
        <v>776044</v>
      </c>
    </row>
    <row r="18" spans="1:35" x14ac:dyDescent="0.25">
      <c r="A18" s="2" t="s">
        <v>17</v>
      </c>
      <c r="B18" s="2" t="s">
        <v>95</v>
      </c>
      <c r="C18" s="5">
        <v>14309</v>
      </c>
      <c r="D18" s="5">
        <v>57482</v>
      </c>
      <c r="E18" s="5">
        <v>26880</v>
      </c>
      <c r="F18" s="5">
        <v>209628</v>
      </c>
      <c r="G18" s="5">
        <v>218550</v>
      </c>
      <c r="H18" s="5">
        <v>218552</v>
      </c>
      <c r="I18" s="5">
        <v>213696</v>
      </c>
      <c r="J18" s="5">
        <v>207868</v>
      </c>
      <c r="K18" s="5">
        <v>216308</v>
      </c>
      <c r="L18" s="5">
        <v>212642</v>
      </c>
      <c r="M18" s="5">
        <v>253703</v>
      </c>
      <c r="N18" s="5">
        <v>253008</v>
      </c>
      <c r="O18" s="5">
        <v>266865</v>
      </c>
      <c r="P18" s="5">
        <v>263522</v>
      </c>
      <c r="Q18" s="5">
        <v>274502</v>
      </c>
      <c r="R18" s="5">
        <v>287922</v>
      </c>
      <c r="S18" s="5">
        <v>312949</v>
      </c>
      <c r="T18" s="5">
        <v>341176</v>
      </c>
      <c r="U18" s="5">
        <v>336268</v>
      </c>
      <c r="V18" s="5">
        <v>344607</v>
      </c>
      <c r="W18" s="5">
        <v>382430</v>
      </c>
      <c r="X18" s="5">
        <v>377618</v>
      </c>
      <c r="Y18" s="5">
        <v>384697</v>
      </c>
      <c r="Z18" s="5">
        <v>384428</v>
      </c>
      <c r="AA18" s="5">
        <v>390676</v>
      </c>
      <c r="AB18" s="5">
        <v>346856</v>
      </c>
      <c r="AC18" s="5">
        <v>335591</v>
      </c>
      <c r="AD18" s="5">
        <v>313506</v>
      </c>
      <c r="AE18" s="5">
        <v>309357</v>
      </c>
      <c r="AF18" s="5">
        <v>282638</v>
      </c>
      <c r="AG18" s="5">
        <v>274601</v>
      </c>
      <c r="AH18" s="5">
        <v>267966</v>
      </c>
      <c r="AI18" s="5">
        <v>263963</v>
      </c>
    </row>
    <row r="19" spans="1:35" x14ac:dyDescent="0.25">
      <c r="A19" s="2" t="s">
        <v>18</v>
      </c>
      <c r="B19" s="2" t="s">
        <v>96</v>
      </c>
      <c r="C19" s="5">
        <v>2484</v>
      </c>
      <c r="D19" s="5">
        <v>9978</v>
      </c>
      <c r="E19" s="5">
        <v>7813</v>
      </c>
      <c r="F19" s="5">
        <v>74484</v>
      </c>
      <c r="G19" s="5">
        <v>77327</v>
      </c>
      <c r="H19" s="5">
        <v>77323</v>
      </c>
      <c r="I19" s="5">
        <v>75603</v>
      </c>
      <c r="J19" s="5">
        <v>73549</v>
      </c>
      <c r="K19" s="5">
        <v>76536</v>
      </c>
      <c r="L19" s="5">
        <v>75240</v>
      </c>
      <c r="M19" s="5">
        <v>89531</v>
      </c>
      <c r="N19" s="5">
        <v>89286</v>
      </c>
      <c r="O19" s="5">
        <v>94176</v>
      </c>
      <c r="P19" s="5">
        <v>92999</v>
      </c>
      <c r="Q19" s="5">
        <v>96878</v>
      </c>
      <c r="R19" s="5">
        <v>101619</v>
      </c>
      <c r="S19" s="5">
        <v>110440</v>
      </c>
      <c r="T19" s="5">
        <v>120401</v>
      </c>
      <c r="U19" s="5">
        <v>118669</v>
      </c>
      <c r="V19" s="5">
        <v>121612</v>
      </c>
      <c r="W19" s="5">
        <v>134966</v>
      </c>
      <c r="X19" s="5">
        <v>135819</v>
      </c>
      <c r="Y19" s="5">
        <v>138367</v>
      </c>
      <c r="Z19" s="5">
        <v>138266</v>
      </c>
      <c r="AA19" s="5">
        <v>140516</v>
      </c>
      <c r="AB19" s="5">
        <v>124754</v>
      </c>
      <c r="AC19" s="5">
        <v>120703</v>
      </c>
      <c r="AD19" s="5">
        <v>112761</v>
      </c>
      <c r="AE19" s="5">
        <v>111268</v>
      </c>
      <c r="AF19" s="5">
        <v>109794</v>
      </c>
      <c r="AG19" s="5">
        <v>106673</v>
      </c>
      <c r="AH19" s="5">
        <v>104095</v>
      </c>
      <c r="AI19" s="5">
        <v>102539</v>
      </c>
    </row>
    <row r="20" spans="1:35" x14ac:dyDescent="0.25">
      <c r="A20" s="2" t="s">
        <v>20</v>
      </c>
      <c r="B20" s="2" t="s">
        <v>165</v>
      </c>
      <c r="C20" s="5">
        <v>2639</v>
      </c>
      <c r="D20" s="5">
        <v>10601</v>
      </c>
      <c r="E20" s="5">
        <v>7284</v>
      </c>
      <c r="F20" s="5">
        <v>56382</v>
      </c>
      <c r="G20" s="5">
        <v>73779</v>
      </c>
      <c r="H20" s="5">
        <v>73779</v>
      </c>
      <c r="I20" s="5">
        <v>72139</v>
      </c>
      <c r="J20" s="5">
        <v>70172</v>
      </c>
      <c r="K20" s="5">
        <v>73023</v>
      </c>
      <c r="L20" s="5">
        <v>71784</v>
      </c>
      <c r="M20" s="5">
        <v>85422</v>
      </c>
      <c r="N20" s="5">
        <v>85187</v>
      </c>
      <c r="O20" s="5">
        <v>89853</v>
      </c>
      <c r="P20" s="5">
        <v>88729</v>
      </c>
      <c r="Q20" s="5">
        <v>92428</v>
      </c>
      <c r="R20" s="5">
        <v>96949</v>
      </c>
      <c r="S20" s="5">
        <v>105369</v>
      </c>
      <c r="T20" s="5">
        <v>114874</v>
      </c>
      <c r="U20" s="5">
        <v>113222</v>
      </c>
      <c r="V20" s="5">
        <v>116032</v>
      </c>
      <c r="W20" s="5">
        <v>182723</v>
      </c>
      <c r="X20" s="5">
        <v>183891</v>
      </c>
      <c r="Y20" s="5">
        <v>187338</v>
      </c>
      <c r="Z20" s="5">
        <v>187202</v>
      </c>
      <c r="AA20" s="5">
        <v>240226</v>
      </c>
      <c r="AB20" s="5">
        <v>213280</v>
      </c>
      <c r="AC20" s="5">
        <v>206357</v>
      </c>
      <c r="AD20" s="5">
        <v>192773</v>
      </c>
      <c r="AE20" s="5">
        <v>190224</v>
      </c>
      <c r="AF20" s="5">
        <v>187704</v>
      </c>
      <c r="AG20" s="5">
        <v>182370</v>
      </c>
      <c r="AH20" s="5">
        <v>177960</v>
      </c>
      <c r="AI20" s="5">
        <v>175301</v>
      </c>
    </row>
    <row r="21" spans="1:35" x14ac:dyDescent="0.25">
      <c r="A21" s="2" t="s">
        <v>25</v>
      </c>
      <c r="B21" s="2" t="s">
        <v>103</v>
      </c>
      <c r="C21" s="5">
        <v>4538</v>
      </c>
      <c r="D21" s="1"/>
      <c r="E21" s="5">
        <v>10294</v>
      </c>
      <c r="F21" s="5">
        <v>171294</v>
      </c>
      <c r="G21" s="5">
        <v>171545</v>
      </c>
      <c r="H21" s="5">
        <v>171545</v>
      </c>
      <c r="I21" s="5">
        <v>171087</v>
      </c>
      <c r="J21" s="5">
        <v>169144</v>
      </c>
      <c r="K21" s="5">
        <v>176010</v>
      </c>
      <c r="L21" s="5">
        <v>173030</v>
      </c>
      <c r="M21" s="5">
        <v>252229</v>
      </c>
      <c r="N21" s="5">
        <v>251538</v>
      </c>
      <c r="O21" s="5">
        <v>265313</v>
      </c>
      <c r="P21" s="5">
        <v>261991</v>
      </c>
      <c r="Q21" s="5">
        <v>272908</v>
      </c>
      <c r="R21" s="5">
        <v>286251</v>
      </c>
      <c r="S21" s="5">
        <v>311131</v>
      </c>
      <c r="T21" s="5">
        <v>373113</v>
      </c>
      <c r="U21" s="5">
        <v>367745</v>
      </c>
      <c r="V21" s="5">
        <v>376867</v>
      </c>
      <c r="W21" s="5">
        <v>418219</v>
      </c>
      <c r="X21" s="5">
        <v>382634</v>
      </c>
      <c r="Y21" s="5">
        <v>389810</v>
      </c>
      <c r="Z21" s="5">
        <v>389527</v>
      </c>
      <c r="AA21" s="5">
        <v>395863</v>
      </c>
      <c r="AB21" s="5">
        <v>351455</v>
      </c>
      <c r="AC21" s="5">
        <v>340050</v>
      </c>
      <c r="AD21" s="5">
        <v>384378</v>
      </c>
      <c r="AE21" s="5">
        <v>379285</v>
      </c>
      <c r="AF21" s="5">
        <v>374267</v>
      </c>
      <c r="AG21" s="5">
        <v>363626</v>
      </c>
      <c r="AH21" s="5">
        <v>354839</v>
      </c>
      <c r="AI21" s="5">
        <v>291978</v>
      </c>
    </row>
    <row r="22" spans="1:35" x14ac:dyDescent="0.25">
      <c r="A22" s="2" t="s">
        <v>16</v>
      </c>
      <c r="B22" s="2" t="s">
        <v>94</v>
      </c>
      <c r="C22" s="5">
        <v>7505</v>
      </c>
      <c r="D22" s="5">
        <v>30149</v>
      </c>
      <c r="E22" s="5">
        <v>17589</v>
      </c>
      <c r="F22" s="5">
        <v>148548</v>
      </c>
      <c r="G22" s="5">
        <v>155011</v>
      </c>
      <c r="H22" s="5">
        <v>155013</v>
      </c>
      <c r="I22" s="5">
        <v>151569</v>
      </c>
      <c r="J22" s="5">
        <v>147435</v>
      </c>
      <c r="K22" s="5">
        <v>153419</v>
      </c>
      <c r="L22" s="5">
        <v>150818</v>
      </c>
      <c r="M22" s="5">
        <v>179474</v>
      </c>
      <c r="N22" s="5">
        <v>178982</v>
      </c>
      <c r="O22" s="5">
        <v>188785</v>
      </c>
      <c r="P22" s="5">
        <v>186420</v>
      </c>
      <c r="Q22" s="5">
        <v>194187</v>
      </c>
      <c r="R22" s="5">
        <v>203680</v>
      </c>
      <c r="S22" s="5">
        <v>221386</v>
      </c>
      <c r="T22" s="5">
        <v>241355</v>
      </c>
      <c r="U22" s="5">
        <v>237883</v>
      </c>
      <c r="V22" s="5">
        <v>243781</v>
      </c>
      <c r="W22" s="5">
        <v>270530</v>
      </c>
      <c r="X22" s="5">
        <v>272261</v>
      </c>
      <c r="Y22" s="5">
        <v>277368</v>
      </c>
      <c r="Z22" s="5">
        <v>277173</v>
      </c>
      <c r="AA22" s="5">
        <v>281679</v>
      </c>
      <c r="AB22" s="5">
        <v>250078</v>
      </c>
      <c r="AC22" s="5">
        <v>241964</v>
      </c>
      <c r="AD22" s="5">
        <v>226037</v>
      </c>
      <c r="AE22" s="5">
        <v>223045</v>
      </c>
      <c r="AF22" s="5">
        <v>233160</v>
      </c>
      <c r="AG22" s="5">
        <v>226533</v>
      </c>
      <c r="AH22" s="5">
        <v>221056</v>
      </c>
      <c r="AI22" s="5">
        <v>217753</v>
      </c>
    </row>
    <row r="23" spans="1:35" x14ac:dyDescent="0.25">
      <c r="A23" s="2" t="s">
        <v>19</v>
      </c>
      <c r="B23" s="2" t="s">
        <v>97</v>
      </c>
      <c r="C23" s="1"/>
      <c r="D23" s="1"/>
      <c r="E23" s="5">
        <v>8061</v>
      </c>
      <c r="F23" s="5">
        <v>68872</v>
      </c>
      <c r="G23" s="5">
        <v>77352</v>
      </c>
      <c r="H23" s="5">
        <v>77350</v>
      </c>
      <c r="I23" s="5">
        <v>75630</v>
      </c>
      <c r="J23" s="5">
        <v>71194</v>
      </c>
      <c r="K23" s="5">
        <v>74086</v>
      </c>
      <c r="L23" s="5">
        <v>72829</v>
      </c>
      <c r="M23" s="5">
        <v>95134</v>
      </c>
      <c r="N23" s="5">
        <v>94874</v>
      </c>
      <c r="O23" s="5">
        <v>100070</v>
      </c>
      <c r="P23" s="5">
        <v>98815</v>
      </c>
      <c r="Q23" s="5">
        <v>102928</v>
      </c>
      <c r="R23" s="5">
        <v>107955</v>
      </c>
      <c r="S23" s="5">
        <v>117351</v>
      </c>
      <c r="T23" s="5">
        <v>127937</v>
      </c>
      <c r="U23" s="5">
        <v>126097</v>
      </c>
      <c r="V23" s="5">
        <v>126812</v>
      </c>
      <c r="W23" s="5">
        <v>140727</v>
      </c>
      <c r="X23" s="5">
        <v>147158</v>
      </c>
      <c r="Y23" s="5">
        <v>149917</v>
      </c>
      <c r="Z23" s="5">
        <v>149807</v>
      </c>
      <c r="AA23" s="5">
        <v>152248</v>
      </c>
      <c r="AB23" s="5">
        <v>135165</v>
      </c>
      <c r="AC23" s="5">
        <v>133176</v>
      </c>
      <c r="AD23" s="5">
        <v>124412</v>
      </c>
      <c r="AE23" s="5">
        <v>122767</v>
      </c>
      <c r="AF23" s="5">
        <v>121139</v>
      </c>
      <c r="AG23" s="5">
        <v>117696</v>
      </c>
      <c r="AH23" s="5">
        <v>131463</v>
      </c>
      <c r="AI23" s="5">
        <v>129562</v>
      </c>
    </row>
    <row r="24" spans="1:35" x14ac:dyDescent="0.25">
      <c r="A24" s="2" t="s">
        <v>22</v>
      </c>
      <c r="B24" s="2" t="s">
        <v>166</v>
      </c>
      <c r="C24" s="1"/>
      <c r="D24" s="1"/>
      <c r="E24" s="1"/>
      <c r="F24" s="1"/>
      <c r="G24" s="5">
        <v>91694</v>
      </c>
      <c r="H24" s="5">
        <v>91698</v>
      </c>
      <c r="I24" s="5">
        <v>89662</v>
      </c>
      <c r="J24" s="5">
        <v>87212</v>
      </c>
      <c r="K24" s="5">
        <v>90753</v>
      </c>
      <c r="L24" s="5">
        <v>89214</v>
      </c>
      <c r="M24" s="5">
        <v>101335</v>
      </c>
      <c r="N24" s="5">
        <v>101058</v>
      </c>
      <c r="O24" s="5">
        <v>106595</v>
      </c>
      <c r="P24" s="5">
        <v>105256</v>
      </c>
      <c r="Q24" s="5">
        <v>109639</v>
      </c>
      <c r="R24" s="5">
        <v>115029</v>
      </c>
      <c r="S24" s="5">
        <v>109995</v>
      </c>
      <c r="T24" s="5">
        <v>119917</v>
      </c>
      <c r="U24" s="5">
        <v>118193</v>
      </c>
      <c r="V24" s="5">
        <v>117893</v>
      </c>
      <c r="W24" s="5">
        <v>130840</v>
      </c>
      <c r="X24" s="5">
        <v>131666</v>
      </c>
      <c r="Y24" s="5">
        <v>134133</v>
      </c>
      <c r="Z24" s="5">
        <v>135004</v>
      </c>
      <c r="AA24" s="5">
        <v>130919</v>
      </c>
      <c r="AB24" s="5">
        <v>116236</v>
      </c>
      <c r="AC24" s="5">
        <v>112458</v>
      </c>
      <c r="AD24" s="5">
        <v>105058</v>
      </c>
      <c r="AE24" s="5">
        <v>103668</v>
      </c>
      <c r="AF24" s="5">
        <v>102294</v>
      </c>
      <c r="AG24" s="5">
        <v>99385</v>
      </c>
      <c r="AH24" s="5">
        <v>96984</v>
      </c>
      <c r="AI24" s="5">
        <v>95535</v>
      </c>
    </row>
    <row r="25" spans="1:35" x14ac:dyDescent="0.25">
      <c r="A25" s="2" t="s">
        <v>32</v>
      </c>
      <c r="B25" s="2" t="s">
        <v>110</v>
      </c>
      <c r="C25" s="5">
        <v>8422</v>
      </c>
      <c r="D25" s="5">
        <v>33833</v>
      </c>
      <c r="E25" s="5">
        <v>20594</v>
      </c>
      <c r="F25" s="5">
        <v>138321</v>
      </c>
      <c r="G25" s="5">
        <v>143601</v>
      </c>
      <c r="H25" s="5">
        <v>143599</v>
      </c>
      <c r="I25" s="5">
        <v>140407</v>
      </c>
      <c r="J25" s="5">
        <v>136584</v>
      </c>
      <c r="K25" s="5">
        <v>142126</v>
      </c>
      <c r="L25" s="5">
        <v>139717</v>
      </c>
      <c r="M25" s="5">
        <v>236423</v>
      </c>
      <c r="N25" s="5">
        <v>262159</v>
      </c>
      <c r="O25" s="5">
        <v>276512</v>
      </c>
      <c r="P25" s="5">
        <v>282673</v>
      </c>
      <c r="Q25" s="5">
        <v>294454</v>
      </c>
      <c r="R25" s="5">
        <v>308853</v>
      </c>
      <c r="S25" s="5">
        <v>335690</v>
      </c>
      <c r="T25" s="5">
        <v>365969</v>
      </c>
      <c r="U25" s="5">
        <v>360705</v>
      </c>
      <c r="V25" s="5">
        <v>369653</v>
      </c>
      <c r="W25" s="5">
        <v>410219</v>
      </c>
      <c r="X25" s="5">
        <v>412836</v>
      </c>
      <c r="Y25" s="5">
        <v>509065</v>
      </c>
      <c r="Z25" s="5">
        <v>508701</v>
      </c>
      <c r="AA25" s="5">
        <v>516971</v>
      </c>
      <c r="AB25" s="5">
        <v>458984</v>
      </c>
      <c r="AC25" s="5">
        <v>467553</v>
      </c>
      <c r="AD25" s="5">
        <v>436783</v>
      </c>
      <c r="AE25" s="5">
        <v>430996</v>
      </c>
      <c r="AF25" s="5">
        <v>425293</v>
      </c>
      <c r="AG25" s="5">
        <v>413201</v>
      </c>
      <c r="AH25" s="5">
        <v>403215</v>
      </c>
      <c r="AI25" s="5">
        <v>397191</v>
      </c>
    </row>
    <row r="26" spans="1:35" x14ac:dyDescent="0.25">
      <c r="A26" s="2" t="s">
        <v>27</v>
      </c>
      <c r="B26" s="2" t="s">
        <v>105</v>
      </c>
      <c r="C26" s="5">
        <v>2841</v>
      </c>
      <c r="D26" s="5">
        <v>8438</v>
      </c>
      <c r="E26" s="5">
        <v>8408</v>
      </c>
      <c r="F26" s="5">
        <v>46764</v>
      </c>
      <c r="G26" s="5">
        <v>171816</v>
      </c>
      <c r="H26" s="5">
        <v>171812</v>
      </c>
      <c r="I26" s="5">
        <v>167992</v>
      </c>
      <c r="J26" s="5">
        <v>163420</v>
      </c>
      <c r="K26" s="5">
        <v>170053</v>
      </c>
      <c r="L26" s="5">
        <v>167170</v>
      </c>
      <c r="M26" s="5">
        <v>198932</v>
      </c>
      <c r="N26" s="5">
        <v>198389</v>
      </c>
      <c r="O26" s="5">
        <v>209253</v>
      </c>
      <c r="P26" s="5">
        <v>206635</v>
      </c>
      <c r="Q26" s="5">
        <v>215248</v>
      </c>
      <c r="R26" s="5">
        <v>225775</v>
      </c>
      <c r="S26" s="5">
        <v>245389</v>
      </c>
      <c r="T26" s="5">
        <v>267523</v>
      </c>
      <c r="U26" s="5">
        <v>263675</v>
      </c>
      <c r="V26" s="5">
        <v>361050</v>
      </c>
      <c r="W26" s="5">
        <v>400677</v>
      </c>
      <c r="X26" s="5">
        <v>403233</v>
      </c>
      <c r="Y26" s="5">
        <v>410791</v>
      </c>
      <c r="Z26" s="5">
        <v>410500</v>
      </c>
      <c r="AA26" s="5">
        <v>410248</v>
      </c>
      <c r="AB26" s="5">
        <v>364233</v>
      </c>
      <c r="AC26" s="5">
        <v>352407</v>
      </c>
      <c r="AD26" s="5">
        <v>329213</v>
      </c>
      <c r="AE26" s="5">
        <v>324856</v>
      </c>
      <c r="AF26" s="5">
        <v>320553</v>
      </c>
      <c r="AG26" s="5">
        <v>311440</v>
      </c>
      <c r="AH26" s="5">
        <v>303913</v>
      </c>
      <c r="AI26" s="5">
        <v>299372</v>
      </c>
    </row>
    <row r="27" spans="1:35" x14ac:dyDescent="0.25">
      <c r="A27" s="2" t="s">
        <v>29</v>
      </c>
      <c r="B27" s="2" t="s">
        <v>107</v>
      </c>
      <c r="C27" s="5">
        <v>7531</v>
      </c>
      <c r="D27" s="5">
        <v>28171</v>
      </c>
      <c r="E27" s="5">
        <v>21342</v>
      </c>
      <c r="F27" s="5">
        <v>194100</v>
      </c>
      <c r="G27" s="5">
        <v>235662</v>
      </c>
      <c r="H27" s="5">
        <v>235664</v>
      </c>
      <c r="I27" s="5">
        <v>237337</v>
      </c>
      <c r="J27" s="5">
        <v>281308</v>
      </c>
      <c r="K27" s="5">
        <v>292730</v>
      </c>
      <c r="L27" s="5">
        <v>287768</v>
      </c>
      <c r="M27" s="5">
        <v>322764</v>
      </c>
      <c r="N27" s="5">
        <v>321880</v>
      </c>
      <c r="O27" s="5">
        <v>339507</v>
      </c>
      <c r="P27" s="5">
        <v>378624</v>
      </c>
      <c r="Q27" s="5">
        <v>394401</v>
      </c>
      <c r="R27" s="5">
        <v>413684</v>
      </c>
      <c r="S27" s="5">
        <v>449639</v>
      </c>
      <c r="T27" s="5">
        <v>490195</v>
      </c>
      <c r="U27" s="5">
        <v>492762</v>
      </c>
      <c r="V27" s="5">
        <v>504986</v>
      </c>
      <c r="W27" s="5">
        <v>560407</v>
      </c>
      <c r="X27" s="5">
        <v>563984</v>
      </c>
      <c r="Y27" s="5">
        <v>574557</v>
      </c>
      <c r="Z27" s="5">
        <v>574143</v>
      </c>
      <c r="AA27" s="5">
        <v>590346</v>
      </c>
      <c r="AB27" s="5">
        <v>550338</v>
      </c>
      <c r="AC27" s="5">
        <v>532469</v>
      </c>
      <c r="AD27" s="5">
        <v>497422</v>
      </c>
      <c r="AE27" s="5">
        <v>490834</v>
      </c>
      <c r="AF27" s="5">
        <v>484339</v>
      </c>
      <c r="AG27" s="5">
        <v>470569</v>
      </c>
      <c r="AH27" s="5">
        <v>459197</v>
      </c>
      <c r="AI27" s="5">
        <v>468869</v>
      </c>
    </row>
    <row r="28" spans="1:35" x14ac:dyDescent="0.25">
      <c r="A28" s="2" t="s">
        <v>28</v>
      </c>
      <c r="B28" s="2" t="s">
        <v>106</v>
      </c>
      <c r="C28" s="5">
        <v>5829</v>
      </c>
      <c r="D28" s="5">
        <v>23417</v>
      </c>
      <c r="E28" s="5">
        <v>11594</v>
      </c>
      <c r="F28" s="5">
        <v>109193</v>
      </c>
      <c r="G28" s="5">
        <v>113362</v>
      </c>
      <c r="H28" s="5">
        <v>113360</v>
      </c>
      <c r="I28" s="5">
        <v>110840</v>
      </c>
      <c r="J28" s="5">
        <v>107822</v>
      </c>
      <c r="K28" s="5">
        <v>112198</v>
      </c>
      <c r="L28" s="5">
        <v>110296</v>
      </c>
      <c r="M28" s="5">
        <v>131254</v>
      </c>
      <c r="N28" s="5">
        <v>130895</v>
      </c>
      <c r="O28" s="5">
        <v>138061</v>
      </c>
      <c r="P28" s="5">
        <v>136333</v>
      </c>
      <c r="Q28" s="5">
        <v>142012</v>
      </c>
      <c r="R28" s="5">
        <v>148953</v>
      </c>
      <c r="S28" s="5">
        <v>161906</v>
      </c>
      <c r="T28" s="5">
        <v>176508</v>
      </c>
      <c r="U28" s="5">
        <v>173968</v>
      </c>
      <c r="V28" s="5">
        <v>178286</v>
      </c>
      <c r="W28" s="5">
        <v>197851</v>
      </c>
      <c r="X28" s="5">
        <v>199115</v>
      </c>
      <c r="Y28" s="5">
        <v>202848</v>
      </c>
      <c r="Z28" s="5">
        <v>202704</v>
      </c>
      <c r="AA28" s="5">
        <v>205999</v>
      </c>
      <c r="AB28" s="5">
        <v>182888</v>
      </c>
      <c r="AC28" s="5">
        <v>176953</v>
      </c>
      <c r="AD28" s="5">
        <v>165307</v>
      </c>
      <c r="AE28" s="5">
        <v>163116</v>
      </c>
      <c r="AF28" s="5">
        <v>160959</v>
      </c>
      <c r="AG28" s="5">
        <v>156385</v>
      </c>
      <c r="AH28" s="5">
        <v>152603</v>
      </c>
      <c r="AI28" s="5">
        <v>150323</v>
      </c>
    </row>
    <row r="29" spans="1:35" x14ac:dyDescent="0.25">
      <c r="A29" s="2" t="s">
        <v>23</v>
      </c>
      <c r="B29" s="2" t="s">
        <v>101</v>
      </c>
      <c r="C29" s="1"/>
      <c r="D29" s="5">
        <v>9512</v>
      </c>
      <c r="E29" s="5">
        <v>5476</v>
      </c>
      <c r="F29" s="5">
        <v>33472</v>
      </c>
      <c r="G29" s="1"/>
      <c r="H29" s="1"/>
      <c r="I29" s="1"/>
      <c r="J29" s="5">
        <v>33324</v>
      </c>
      <c r="K29" s="5">
        <v>34677</v>
      </c>
      <c r="L29" s="5">
        <v>34089</v>
      </c>
      <c r="M29" s="5">
        <v>40566</v>
      </c>
      <c r="N29" s="5">
        <v>40455</v>
      </c>
      <c r="O29" s="5">
        <v>42670</v>
      </c>
      <c r="P29" s="5">
        <v>42136</v>
      </c>
      <c r="Q29" s="5">
        <v>43891</v>
      </c>
      <c r="R29" s="5">
        <v>46036</v>
      </c>
      <c r="S29" s="5">
        <v>50039</v>
      </c>
      <c r="T29" s="5">
        <v>54553</v>
      </c>
      <c r="U29" s="5">
        <v>53769</v>
      </c>
      <c r="V29" s="5">
        <v>62074</v>
      </c>
      <c r="W29" s="5">
        <v>68878</v>
      </c>
      <c r="X29" s="5">
        <v>69326</v>
      </c>
      <c r="Y29" s="5">
        <v>70620</v>
      </c>
      <c r="Z29" s="5">
        <v>70575</v>
      </c>
      <c r="AA29" s="5">
        <v>71722</v>
      </c>
      <c r="AB29" s="5">
        <v>63678</v>
      </c>
      <c r="AC29" s="5">
        <v>61609</v>
      </c>
      <c r="AD29" s="5">
        <v>57555</v>
      </c>
      <c r="AE29" s="5">
        <v>56790</v>
      </c>
      <c r="AF29" s="5">
        <v>67490</v>
      </c>
      <c r="AG29" s="5">
        <v>65570</v>
      </c>
      <c r="AH29" s="5">
        <v>63987</v>
      </c>
      <c r="AI29" s="5">
        <v>63031</v>
      </c>
    </row>
    <row r="30" spans="1:35" x14ac:dyDescent="0.25">
      <c r="A30" s="2" t="s">
        <v>35</v>
      </c>
      <c r="B30" s="2" t="s">
        <v>113</v>
      </c>
      <c r="C30" s="5">
        <v>2031</v>
      </c>
      <c r="D30" s="5">
        <v>7680</v>
      </c>
      <c r="E30" s="5">
        <v>7965</v>
      </c>
      <c r="F30" s="5">
        <v>61597</v>
      </c>
      <c r="G30" s="5">
        <v>63950</v>
      </c>
      <c r="H30" s="5">
        <v>63952</v>
      </c>
      <c r="I30" s="5">
        <v>62532</v>
      </c>
      <c r="J30" s="5">
        <v>60825</v>
      </c>
      <c r="K30" s="5">
        <v>63295</v>
      </c>
      <c r="L30" s="5">
        <v>62221</v>
      </c>
      <c r="M30" s="5">
        <v>74043</v>
      </c>
      <c r="N30" s="5">
        <v>73839</v>
      </c>
      <c r="O30" s="5">
        <v>77881</v>
      </c>
      <c r="P30" s="5">
        <v>76908</v>
      </c>
      <c r="Q30" s="5">
        <v>80112</v>
      </c>
      <c r="R30" s="5">
        <v>84028</v>
      </c>
      <c r="S30" s="5">
        <v>91333</v>
      </c>
      <c r="T30" s="5">
        <v>99571</v>
      </c>
      <c r="U30" s="5">
        <v>98139</v>
      </c>
      <c r="V30" s="5">
        <v>100573</v>
      </c>
      <c r="W30" s="5">
        <v>111617</v>
      </c>
      <c r="X30" s="5">
        <v>112322</v>
      </c>
      <c r="Y30" s="5">
        <v>114432</v>
      </c>
      <c r="Z30" s="5">
        <v>114351</v>
      </c>
      <c r="AA30" s="5">
        <v>116206</v>
      </c>
      <c r="AB30" s="5">
        <v>103171</v>
      </c>
      <c r="AC30" s="5">
        <v>99823</v>
      </c>
      <c r="AD30" s="5">
        <v>93253</v>
      </c>
      <c r="AE30" s="5">
        <v>92020</v>
      </c>
      <c r="AF30" s="5">
        <v>90799</v>
      </c>
      <c r="AG30" s="5">
        <v>88219</v>
      </c>
      <c r="AH30" s="5">
        <v>86086</v>
      </c>
      <c r="AI30" s="5">
        <v>84800</v>
      </c>
    </row>
    <row r="31" spans="1:35" x14ac:dyDescent="0.25">
      <c r="A31" s="2" t="s">
        <v>31</v>
      </c>
      <c r="B31" s="2" t="s">
        <v>109</v>
      </c>
      <c r="C31" s="5">
        <v>618</v>
      </c>
      <c r="D31" s="5">
        <v>6379</v>
      </c>
      <c r="E31" s="5">
        <v>1401</v>
      </c>
      <c r="F31" s="5">
        <v>70074</v>
      </c>
      <c r="G31" s="5">
        <v>86713</v>
      </c>
      <c r="H31" s="5">
        <v>86711</v>
      </c>
      <c r="I31" s="5">
        <v>84783</v>
      </c>
      <c r="J31" s="5">
        <v>82475</v>
      </c>
      <c r="K31" s="5">
        <v>85822</v>
      </c>
      <c r="L31" s="5">
        <v>84367</v>
      </c>
      <c r="M31" s="5">
        <v>100398</v>
      </c>
      <c r="N31" s="5">
        <v>100123</v>
      </c>
      <c r="O31" s="5">
        <v>105604</v>
      </c>
      <c r="P31" s="5">
        <v>104284</v>
      </c>
      <c r="Q31" s="5">
        <v>108631</v>
      </c>
      <c r="R31" s="5">
        <v>113944</v>
      </c>
      <c r="S31" s="5">
        <v>124835</v>
      </c>
      <c r="T31" s="5">
        <v>136092</v>
      </c>
      <c r="U31" s="5">
        <v>134132</v>
      </c>
      <c r="V31" s="5">
        <v>137461</v>
      </c>
      <c r="W31" s="5">
        <v>152539</v>
      </c>
      <c r="X31" s="5">
        <v>153519</v>
      </c>
      <c r="Y31" s="5">
        <v>155399</v>
      </c>
      <c r="Z31" s="5">
        <v>155295</v>
      </c>
      <c r="AA31" s="5">
        <v>156569</v>
      </c>
      <c r="AB31" s="5">
        <v>139009</v>
      </c>
      <c r="AC31" s="5">
        <v>135356</v>
      </c>
      <c r="AD31" s="5">
        <v>126445</v>
      </c>
      <c r="AE31" s="5">
        <v>124769</v>
      </c>
      <c r="AF31" s="5">
        <v>123119</v>
      </c>
      <c r="AG31" s="5">
        <v>119621</v>
      </c>
      <c r="AH31" s="5">
        <v>116728</v>
      </c>
      <c r="AI31" s="5">
        <v>114984</v>
      </c>
    </row>
    <row r="32" spans="1:35" x14ac:dyDescent="0.25">
      <c r="A32" s="2" t="s">
        <v>21</v>
      </c>
      <c r="B32" s="2" t="s">
        <v>99</v>
      </c>
      <c r="C32" s="5">
        <v>5998</v>
      </c>
      <c r="D32" s="5">
        <v>24671</v>
      </c>
      <c r="E32" s="5">
        <v>18400</v>
      </c>
      <c r="F32" s="5">
        <v>121540</v>
      </c>
      <c r="G32" s="5">
        <v>151719</v>
      </c>
      <c r="H32" s="5">
        <v>151719</v>
      </c>
      <c r="I32" s="5">
        <v>148347</v>
      </c>
      <c r="J32" s="5">
        <v>144303</v>
      </c>
      <c r="K32" s="5">
        <v>150162</v>
      </c>
      <c r="L32" s="5">
        <v>147618</v>
      </c>
      <c r="M32" s="5">
        <v>175663</v>
      </c>
      <c r="N32" s="5">
        <v>175182</v>
      </c>
      <c r="O32" s="5">
        <v>184774</v>
      </c>
      <c r="P32" s="5">
        <v>182463</v>
      </c>
      <c r="Q32" s="5">
        <v>190068</v>
      </c>
      <c r="R32" s="5">
        <v>199363</v>
      </c>
      <c r="S32" s="5">
        <v>216686</v>
      </c>
      <c r="T32" s="5">
        <v>236229</v>
      </c>
      <c r="U32" s="5">
        <v>232829</v>
      </c>
      <c r="V32" s="5">
        <v>290788</v>
      </c>
      <c r="W32" s="5">
        <v>322693</v>
      </c>
      <c r="X32" s="5">
        <v>324756</v>
      </c>
      <c r="Y32" s="5">
        <v>330852</v>
      </c>
      <c r="Z32" s="5">
        <v>330611</v>
      </c>
      <c r="AA32" s="5">
        <v>335988</v>
      </c>
      <c r="AB32" s="5">
        <v>298303</v>
      </c>
      <c r="AC32" s="5">
        <v>296247</v>
      </c>
      <c r="AD32" s="5">
        <v>276748</v>
      </c>
      <c r="AE32" s="5">
        <v>273084</v>
      </c>
      <c r="AF32" s="5">
        <v>269468</v>
      </c>
      <c r="AG32" s="5">
        <v>261807</v>
      </c>
      <c r="AH32" s="5">
        <v>255480</v>
      </c>
      <c r="AI32" s="5">
        <v>251663</v>
      </c>
    </row>
    <row r="33" spans="1:35" x14ac:dyDescent="0.25">
      <c r="A33" s="2" t="s">
        <v>24</v>
      </c>
      <c r="B33" s="2" t="s">
        <v>102</v>
      </c>
      <c r="C33" s="1"/>
      <c r="D33" s="1"/>
      <c r="E33" s="5">
        <v>8813</v>
      </c>
      <c r="F33" s="5">
        <v>68159</v>
      </c>
      <c r="G33" s="5">
        <v>67100</v>
      </c>
      <c r="H33" s="5">
        <v>67098</v>
      </c>
      <c r="I33" s="5">
        <v>65606</v>
      </c>
      <c r="J33" s="5">
        <v>54702</v>
      </c>
      <c r="K33" s="5">
        <v>56924</v>
      </c>
      <c r="L33" s="5">
        <v>55958</v>
      </c>
      <c r="M33" s="5">
        <v>66589</v>
      </c>
      <c r="N33" s="5">
        <v>66407</v>
      </c>
      <c r="O33" s="5">
        <v>70047</v>
      </c>
      <c r="P33" s="5">
        <v>69166</v>
      </c>
      <c r="Q33" s="5">
        <v>72046</v>
      </c>
      <c r="R33" s="5">
        <v>75566</v>
      </c>
      <c r="S33" s="5">
        <v>82140</v>
      </c>
      <c r="T33" s="5">
        <v>89549</v>
      </c>
      <c r="U33" s="5">
        <v>88261</v>
      </c>
      <c r="V33" s="5">
        <v>90447</v>
      </c>
      <c r="W33" s="5">
        <v>100374</v>
      </c>
      <c r="X33" s="5">
        <v>101015</v>
      </c>
      <c r="Y33" s="5">
        <v>320549</v>
      </c>
      <c r="Z33" s="5">
        <v>320323</v>
      </c>
      <c r="AA33" s="5">
        <v>325534</v>
      </c>
      <c r="AB33" s="5">
        <v>289021</v>
      </c>
      <c r="AC33" s="5">
        <v>279636</v>
      </c>
      <c r="AD33" s="5">
        <v>261229</v>
      </c>
      <c r="AE33" s="5">
        <v>257770</v>
      </c>
      <c r="AF33" s="5">
        <v>254359</v>
      </c>
      <c r="AG33" s="5">
        <v>247129</v>
      </c>
      <c r="AH33" s="5">
        <v>241156</v>
      </c>
      <c r="AI33" s="5">
        <v>224421</v>
      </c>
    </row>
    <row r="34" spans="1:35" x14ac:dyDescent="0.25">
      <c r="A34" s="2" t="s">
        <v>30</v>
      </c>
      <c r="B34" s="2" t="s">
        <v>108</v>
      </c>
      <c r="C34" s="5">
        <v>1376</v>
      </c>
      <c r="D34" s="5">
        <v>4572</v>
      </c>
      <c r="E34" s="5">
        <v>3122</v>
      </c>
      <c r="F34" s="5">
        <v>31976</v>
      </c>
      <c r="G34" s="5">
        <v>33198</v>
      </c>
      <c r="H34" s="5">
        <v>33202</v>
      </c>
      <c r="I34" s="5">
        <v>32466</v>
      </c>
      <c r="J34" s="5">
        <v>31575</v>
      </c>
      <c r="K34" s="5">
        <v>32858</v>
      </c>
      <c r="L34" s="5">
        <v>32300</v>
      </c>
      <c r="M34" s="5">
        <v>38437</v>
      </c>
      <c r="N34" s="5">
        <v>38330</v>
      </c>
      <c r="O34" s="5">
        <v>40429</v>
      </c>
      <c r="P34" s="5">
        <v>39925</v>
      </c>
      <c r="Q34" s="5">
        <v>41590</v>
      </c>
      <c r="R34" s="5">
        <v>130875</v>
      </c>
      <c r="S34" s="5">
        <v>142238</v>
      </c>
      <c r="T34" s="5">
        <v>155066</v>
      </c>
      <c r="U34" s="5">
        <v>152834</v>
      </c>
      <c r="V34" s="5">
        <v>156624</v>
      </c>
      <c r="W34" s="5">
        <v>173819</v>
      </c>
      <c r="X34" s="5">
        <v>174926</v>
      </c>
      <c r="Y34" s="5">
        <v>178201</v>
      </c>
      <c r="Z34" s="5">
        <v>178077</v>
      </c>
      <c r="AA34" s="5">
        <v>180975</v>
      </c>
      <c r="AB34" s="5">
        <v>160670</v>
      </c>
      <c r="AC34" s="5">
        <v>155455</v>
      </c>
      <c r="AD34" s="5">
        <v>145225</v>
      </c>
      <c r="AE34" s="5">
        <v>143301</v>
      </c>
      <c r="AF34" s="5">
        <v>141405</v>
      </c>
      <c r="AG34" s="5">
        <v>137383</v>
      </c>
      <c r="AH34" s="5">
        <v>134065</v>
      </c>
      <c r="AI34" s="5">
        <v>132062</v>
      </c>
    </row>
    <row r="35" spans="1:35" x14ac:dyDescent="0.25">
      <c r="A35" s="2" t="s">
        <v>33</v>
      </c>
      <c r="B35" s="2" t="s">
        <v>111</v>
      </c>
      <c r="C35" s="5">
        <v>6071</v>
      </c>
      <c r="D35" s="5">
        <v>31797</v>
      </c>
      <c r="E35" s="5">
        <v>15621</v>
      </c>
      <c r="F35" s="5">
        <v>121055</v>
      </c>
      <c r="G35" s="5">
        <v>162343</v>
      </c>
      <c r="H35" s="5">
        <v>324686</v>
      </c>
      <c r="I35" s="5">
        <v>317470</v>
      </c>
      <c r="J35" s="5">
        <v>318496</v>
      </c>
      <c r="K35" s="5">
        <v>331422</v>
      </c>
      <c r="L35" s="5">
        <v>325808</v>
      </c>
      <c r="M35" s="5">
        <v>387709</v>
      </c>
      <c r="N35" s="5">
        <v>386647</v>
      </c>
      <c r="O35" s="5">
        <v>407821</v>
      </c>
      <c r="P35" s="5">
        <v>402713</v>
      </c>
      <c r="Q35" s="5">
        <v>419489</v>
      </c>
      <c r="R35" s="5">
        <v>439993</v>
      </c>
      <c r="S35" s="5">
        <v>478249</v>
      </c>
      <c r="T35" s="5">
        <v>521387</v>
      </c>
      <c r="U35" s="5">
        <v>513887</v>
      </c>
      <c r="V35" s="5">
        <v>567942</v>
      </c>
      <c r="W35" s="5">
        <v>630263</v>
      </c>
      <c r="X35" s="5">
        <v>634290</v>
      </c>
      <c r="Y35" s="5">
        <v>646181</v>
      </c>
      <c r="Z35" s="5">
        <v>665097</v>
      </c>
      <c r="AA35" s="5">
        <v>675908</v>
      </c>
      <c r="AB35" s="5">
        <v>600095</v>
      </c>
      <c r="AC35" s="5">
        <v>580607</v>
      </c>
      <c r="AD35" s="5">
        <v>542396</v>
      </c>
      <c r="AE35" s="5">
        <v>535214</v>
      </c>
      <c r="AF35" s="5">
        <v>528130</v>
      </c>
      <c r="AG35" s="5">
        <v>513118</v>
      </c>
      <c r="AH35" s="5">
        <v>500714</v>
      </c>
      <c r="AI35" s="5">
        <v>493232</v>
      </c>
    </row>
    <row r="36" spans="1:35" x14ac:dyDescent="0.25">
      <c r="A36" s="2" t="s">
        <v>40</v>
      </c>
      <c r="B36" s="2" t="s">
        <v>118</v>
      </c>
      <c r="C36" s="5">
        <v>13549</v>
      </c>
      <c r="D36" s="5">
        <v>52539</v>
      </c>
      <c r="E36" s="5">
        <v>30732</v>
      </c>
      <c r="F36" s="5">
        <v>198767</v>
      </c>
      <c r="G36" s="5">
        <v>149599</v>
      </c>
      <c r="H36" s="5">
        <v>149599</v>
      </c>
      <c r="I36" s="5">
        <v>146275</v>
      </c>
      <c r="J36" s="5">
        <v>158084</v>
      </c>
      <c r="K36" s="5">
        <v>164501</v>
      </c>
      <c r="L36" s="5">
        <v>161714</v>
      </c>
      <c r="M36" s="5">
        <v>192437</v>
      </c>
      <c r="N36" s="5">
        <v>191911</v>
      </c>
      <c r="O36" s="5">
        <v>202421</v>
      </c>
      <c r="P36" s="5">
        <v>199883</v>
      </c>
      <c r="Q36" s="5">
        <v>208208</v>
      </c>
      <c r="R36" s="5">
        <v>218383</v>
      </c>
      <c r="S36" s="5">
        <v>237378</v>
      </c>
      <c r="T36" s="5">
        <v>258787</v>
      </c>
      <c r="U36" s="5">
        <v>255063</v>
      </c>
      <c r="V36" s="5">
        <v>232250</v>
      </c>
      <c r="W36" s="5">
        <v>257741</v>
      </c>
      <c r="X36" s="5">
        <v>259378</v>
      </c>
      <c r="Y36" s="5">
        <v>264241</v>
      </c>
      <c r="Z36" s="5">
        <v>264054</v>
      </c>
      <c r="AA36" s="5">
        <v>268349</v>
      </c>
      <c r="AB36" s="5">
        <v>238250</v>
      </c>
      <c r="AC36" s="5">
        <v>230511</v>
      </c>
      <c r="AD36" s="5">
        <v>215342</v>
      </c>
      <c r="AE36" s="5">
        <v>212493</v>
      </c>
      <c r="AF36" s="5">
        <v>209678</v>
      </c>
      <c r="AG36" s="5">
        <v>203718</v>
      </c>
      <c r="AH36" s="5">
        <v>198794</v>
      </c>
      <c r="AI36" s="5">
        <v>195823</v>
      </c>
    </row>
    <row r="37" spans="1:35" x14ac:dyDescent="0.25">
      <c r="A37" s="2" t="s">
        <v>36</v>
      </c>
      <c r="B37" s="2" t="s">
        <v>114</v>
      </c>
      <c r="C37" s="5">
        <v>8098</v>
      </c>
      <c r="D37" s="5">
        <v>32532</v>
      </c>
      <c r="E37" s="5">
        <v>18388</v>
      </c>
      <c r="F37" s="5">
        <v>223610</v>
      </c>
      <c r="G37" s="5">
        <v>236215</v>
      </c>
      <c r="H37" s="5">
        <v>236217</v>
      </c>
      <c r="I37" s="5">
        <v>230969</v>
      </c>
      <c r="J37" s="5">
        <v>224672</v>
      </c>
      <c r="K37" s="5">
        <v>233795</v>
      </c>
      <c r="L37" s="5">
        <v>229832</v>
      </c>
      <c r="M37" s="5">
        <v>273496</v>
      </c>
      <c r="N37" s="5">
        <v>272748</v>
      </c>
      <c r="O37" s="5">
        <v>287680</v>
      </c>
      <c r="P37" s="5">
        <v>284080</v>
      </c>
      <c r="Q37" s="5">
        <v>295915</v>
      </c>
      <c r="R37" s="5">
        <v>310380</v>
      </c>
      <c r="S37" s="5">
        <v>337366</v>
      </c>
      <c r="T37" s="5">
        <v>367794</v>
      </c>
      <c r="U37" s="5">
        <v>362502</v>
      </c>
      <c r="V37" s="5">
        <v>371494</v>
      </c>
      <c r="W37" s="5">
        <v>412255</v>
      </c>
      <c r="X37" s="5">
        <v>414898</v>
      </c>
      <c r="Y37" s="5">
        <v>422674</v>
      </c>
      <c r="Z37" s="5">
        <v>422373</v>
      </c>
      <c r="AA37" s="5">
        <v>429240</v>
      </c>
      <c r="AB37" s="5">
        <v>381095</v>
      </c>
      <c r="AC37" s="5">
        <v>358297</v>
      </c>
      <c r="AD37" s="5">
        <v>334716</v>
      </c>
      <c r="AE37" s="5">
        <v>330286</v>
      </c>
      <c r="AF37" s="5">
        <v>325912</v>
      </c>
      <c r="AG37" s="5">
        <v>316649</v>
      </c>
      <c r="AH37" s="5">
        <v>308993</v>
      </c>
      <c r="AI37" s="5">
        <v>304376</v>
      </c>
    </row>
    <row r="38" spans="1:35" x14ac:dyDescent="0.25">
      <c r="A38" s="2" t="s">
        <v>37</v>
      </c>
      <c r="B38" s="2" t="s">
        <v>115</v>
      </c>
      <c r="C38" s="1"/>
      <c r="D38" s="1"/>
      <c r="E38" s="1"/>
      <c r="F38" s="5">
        <v>80899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>
        <v>244376</v>
      </c>
      <c r="Y38" s="5">
        <v>248957</v>
      </c>
      <c r="Z38" s="5">
        <v>248778</v>
      </c>
      <c r="AA38" s="5">
        <v>293036</v>
      </c>
      <c r="AB38" s="5">
        <v>260168</v>
      </c>
      <c r="AC38" s="5">
        <v>251719</v>
      </c>
      <c r="AD38" s="5">
        <v>235152</v>
      </c>
      <c r="AE38" s="5">
        <v>232040</v>
      </c>
      <c r="AF38" s="5">
        <v>228967</v>
      </c>
      <c r="AG38" s="5">
        <v>222458</v>
      </c>
      <c r="AH38" s="5">
        <v>217081</v>
      </c>
      <c r="AI38" s="5">
        <v>271561</v>
      </c>
    </row>
    <row r="39" spans="1:35" x14ac:dyDescent="0.25">
      <c r="A39" s="2" t="s">
        <v>45</v>
      </c>
      <c r="B39" s="2" t="s">
        <v>123</v>
      </c>
      <c r="C39" s="5">
        <v>8740</v>
      </c>
      <c r="D39" s="5">
        <v>37071</v>
      </c>
      <c r="E39" s="5">
        <v>18011</v>
      </c>
      <c r="F39" s="5">
        <v>239475</v>
      </c>
      <c r="G39" s="5">
        <v>231767</v>
      </c>
      <c r="H39" s="5">
        <v>231763</v>
      </c>
      <c r="I39" s="5">
        <v>226611</v>
      </c>
      <c r="J39" s="5">
        <v>174360</v>
      </c>
      <c r="K39" s="5">
        <v>181441</v>
      </c>
      <c r="L39" s="5">
        <v>178366</v>
      </c>
      <c r="M39" s="5">
        <v>208580</v>
      </c>
      <c r="N39" s="5">
        <v>208008</v>
      </c>
      <c r="O39" s="5">
        <v>219401</v>
      </c>
      <c r="P39" s="5">
        <v>194688</v>
      </c>
      <c r="Q39" s="5">
        <v>202797</v>
      </c>
      <c r="R39" s="5">
        <v>212708</v>
      </c>
      <c r="S39" s="5">
        <v>231208</v>
      </c>
      <c r="T39" s="5">
        <v>252060</v>
      </c>
      <c r="U39" s="5">
        <v>248432</v>
      </c>
      <c r="V39" s="5">
        <v>242809</v>
      </c>
      <c r="W39" s="5">
        <v>269458</v>
      </c>
      <c r="X39" s="5">
        <v>274464</v>
      </c>
      <c r="Y39" s="5">
        <v>264691</v>
      </c>
      <c r="Z39" s="5">
        <v>264500</v>
      </c>
      <c r="AA39" s="5">
        <v>240099</v>
      </c>
      <c r="AB39" s="5">
        <v>213163</v>
      </c>
      <c r="AC39" s="5">
        <v>201861</v>
      </c>
      <c r="AD39" s="5">
        <v>188576</v>
      </c>
      <c r="AE39" s="5">
        <v>186081</v>
      </c>
      <c r="AF39" s="5">
        <v>180056</v>
      </c>
      <c r="AG39" s="5">
        <v>174936</v>
      </c>
      <c r="AH39" s="5">
        <v>170709</v>
      </c>
      <c r="AI39" s="5">
        <v>168158</v>
      </c>
    </row>
    <row r="40" spans="1:35" x14ac:dyDescent="0.25">
      <c r="A40" s="2" t="s">
        <v>42</v>
      </c>
      <c r="B40" s="2" t="s">
        <v>120</v>
      </c>
      <c r="C40" s="1"/>
      <c r="D40" s="1"/>
      <c r="E40" s="1"/>
      <c r="F40" s="5">
        <v>40516</v>
      </c>
      <c r="G40" s="1"/>
      <c r="H40" s="1"/>
      <c r="I40" s="1"/>
      <c r="J40" s="1"/>
      <c r="K40" s="1"/>
      <c r="L40" s="1"/>
      <c r="M40" s="1"/>
      <c r="N40" s="1"/>
      <c r="O40" s="1"/>
      <c r="P40" s="5">
        <v>50586</v>
      </c>
      <c r="Q40" s="5">
        <v>52692</v>
      </c>
      <c r="R40" s="5">
        <v>82899</v>
      </c>
      <c r="S40" s="5">
        <v>180227</v>
      </c>
      <c r="T40" s="5">
        <v>196482</v>
      </c>
      <c r="U40" s="5">
        <v>193654</v>
      </c>
      <c r="V40" s="5">
        <v>198460</v>
      </c>
      <c r="W40" s="5">
        <v>220240</v>
      </c>
      <c r="X40" s="1"/>
      <c r="Y40" s="1"/>
      <c r="Z40" s="1"/>
      <c r="AA40" s="5">
        <v>233947</v>
      </c>
      <c r="AB40" s="5">
        <v>207708</v>
      </c>
      <c r="AC40" s="5">
        <v>200960</v>
      </c>
      <c r="AD40" s="5">
        <v>187734</v>
      </c>
      <c r="AE40" s="5">
        <v>185250</v>
      </c>
      <c r="AF40" s="5">
        <v>182797</v>
      </c>
      <c r="AG40" s="5">
        <v>177598</v>
      </c>
      <c r="AH40" s="5">
        <v>173308</v>
      </c>
      <c r="AI40" s="5">
        <v>170718</v>
      </c>
    </row>
    <row r="41" spans="1:35" x14ac:dyDescent="0.25">
      <c r="A41" s="2" t="s">
        <v>39</v>
      </c>
      <c r="B41" s="2" t="s">
        <v>117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5">
        <v>72006</v>
      </c>
      <c r="T41" s="5">
        <v>78503</v>
      </c>
      <c r="U41" s="5">
        <v>77375</v>
      </c>
      <c r="V41" s="1"/>
      <c r="W41" s="1"/>
      <c r="X41" s="1"/>
      <c r="Y41" s="1"/>
      <c r="Z41" s="1"/>
      <c r="AA41" s="1"/>
      <c r="AB41" s="1"/>
      <c r="AC41" s="5">
        <v>78703</v>
      </c>
      <c r="AD41" s="5">
        <v>73520</v>
      </c>
      <c r="AE41" s="5">
        <v>72546</v>
      </c>
      <c r="AF41" s="5">
        <v>71587</v>
      </c>
      <c r="AG41" s="5">
        <v>69549</v>
      </c>
      <c r="AH41" s="5">
        <v>67870</v>
      </c>
      <c r="AI41" s="5">
        <v>66856</v>
      </c>
    </row>
    <row r="42" spans="1:35" x14ac:dyDescent="0.25">
      <c r="A42" s="2" t="s">
        <v>43</v>
      </c>
      <c r="B42" s="2" t="s">
        <v>121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5">
        <v>185074</v>
      </c>
      <c r="AD42" s="5">
        <v>172892</v>
      </c>
      <c r="AE42" s="5">
        <v>170605</v>
      </c>
      <c r="AF42" s="5">
        <v>168345</v>
      </c>
      <c r="AG42" s="5">
        <v>163560</v>
      </c>
      <c r="AH42" s="5">
        <v>159606</v>
      </c>
      <c r="AI42" s="5">
        <v>157221</v>
      </c>
    </row>
    <row r="43" spans="1:35" x14ac:dyDescent="0.25">
      <c r="A43" s="2" t="s">
        <v>41</v>
      </c>
      <c r="B43" s="2" t="s">
        <v>119</v>
      </c>
      <c r="C43" s="5">
        <v>1537</v>
      </c>
      <c r="D43" s="5">
        <v>6176</v>
      </c>
      <c r="E43" s="5">
        <v>6974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5">
        <v>74445</v>
      </c>
      <c r="Z43" s="5">
        <v>74389</v>
      </c>
      <c r="AA43" s="5">
        <v>75599</v>
      </c>
      <c r="AB43" s="5">
        <v>134245</v>
      </c>
      <c r="AC43" s="1"/>
      <c r="AD43" s="1"/>
      <c r="AE43" s="1"/>
      <c r="AF43" s="1"/>
      <c r="AG43" s="1"/>
      <c r="AH43" s="1"/>
      <c r="AI43" s="5">
        <v>97175</v>
      </c>
    </row>
    <row r="44" spans="1:35" x14ac:dyDescent="0.25">
      <c r="A44" s="2" t="s">
        <v>49</v>
      </c>
      <c r="B44" s="2" t="s">
        <v>127</v>
      </c>
      <c r="C44" s="5">
        <v>4913</v>
      </c>
      <c r="D44" s="5">
        <v>17730</v>
      </c>
      <c r="E44" s="5">
        <v>16345</v>
      </c>
      <c r="F44" s="1"/>
      <c r="G44" s="5">
        <v>151805</v>
      </c>
      <c r="H44" s="5">
        <v>151807</v>
      </c>
      <c r="I44" s="5">
        <v>148435</v>
      </c>
      <c r="J44" s="5">
        <v>144388</v>
      </c>
      <c r="K44" s="5">
        <v>150247</v>
      </c>
      <c r="L44" s="5">
        <v>147700</v>
      </c>
      <c r="M44" s="5">
        <v>178091</v>
      </c>
      <c r="N44" s="5">
        <v>177604</v>
      </c>
      <c r="O44" s="5">
        <v>187327</v>
      </c>
      <c r="P44" s="5">
        <v>184983</v>
      </c>
      <c r="Q44" s="5">
        <v>192687</v>
      </c>
      <c r="R44" s="5">
        <v>202103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5">
        <v>220761</v>
      </c>
      <c r="AG44" s="5">
        <v>214487</v>
      </c>
      <c r="AH44" s="5">
        <v>209301</v>
      </c>
      <c r="AI44" s="5">
        <v>206174</v>
      </c>
    </row>
    <row r="45" spans="1:35" x14ac:dyDescent="0.25">
      <c r="A45" s="2" t="s">
        <v>46</v>
      </c>
      <c r="B45" s="2" t="s">
        <v>124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5">
        <v>281297</v>
      </c>
      <c r="Q45" s="5">
        <v>293015</v>
      </c>
      <c r="R45" s="5">
        <v>307337</v>
      </c>
      <c r="S45" s="5">
        <v>380115</v>
      </c>
      <c r="T45" s="5">
        <v>422574</v>
      </c>
      <c r="U45" s="5">
        <v>416494</v>
      </c>
      <c r="V45" s="5">
        <v>435335</v>
      </c>
      <c r="W45" s="5">
        <v>483110</v>
      </c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5">
        <v>383381</v>
      </c>
    </row>
    <row r="46" spans="1:35" x14ac:dyDescent="0.25">
      <c r="A46" s="2" t="s">
        <v>34</v>
      </c>
      <c r="B46" s="2" t="s">
        <v>112</v>
      </c>
      <c r="C46" s="1"/>
      <c r="D46" s="1"/>
      <c r="E46" s="1"/>
      <c r="F46" s="1"/>
      <c r="G46" s="5">
        <v>143672</v>
      </c>
      <c r="H46" s="5">
        <v>143674</v>
      </c>
      <c r="I46" s="5">
        <v>140482</v>
      </c>
      <c r="J46" s="5">
        <v>136650</v>
      </c>
      <c r="K46" s="5">
        <v>142199</v>
      </c>
      <c r="L46" s="5">
        <v>139790</v>
      </c>
      <c r="M46" s="5">
        <v>166347</v>
      </c>
      <c r="N46" s="5">
        <v>165892</v>
      </c>
      <c r="O46" s="5">
        <v>174976</v>
      </c>
      <c r="P46" s="5">
        <v>172785</v>
      </c>
      <c r="Q46" s="5">
        <v>179985</v>
      </c>
      <c r="R46" s="5">
        <v>188785</v>
      </c>
      <c r="S46" s="5">
        <v>205195</v>
      </c>
      <c r="T46" s="5">
        <v>223700</v>
      </c>
      <c r="U46" s="5">
        <v>220480</v>
      </c>
      <c r="V46" s="5">
        <v>223342</v>
      </c>
      <c r="W46" s="5">
        <v>247845</v>
      </c>
      <c r="X46" s="5">
        <v>249434</v>
      </c>
      <c r="Y46" s="5">
        <v>254115</v>
      </c>
      <c r="Z46" s="5">
        <v>253933</v>
      </c>
      <c r="AA46" s="5">
        <v>549111</v>
      </c>
      <c r="AB46" s="5">
        <v>487520</v>
      </c>
      <c r="AC46" s="5">
        <v>471689</v>
      </c>
      <c r="AD46" s="5">
        <v>440647</v>
      </c>
      <c r="AE46" s="5">
        <v>434810</v>
      </c>
      <c r="AF46" s="5">
        <v>429056</v>
      </c>
      <c r="AG46" s="5">
        <v>416860</v>
      </c>
      <c r="AH46" s="5">
        <v>406783</v>
      </c>
      <c r="AI46" s="5">
        <v>400705</v>
      </c>
    </row>
    <row r="47" spans="1:35" x14ac:dyDescent="0.25">
      <c r="A47" s="2" t="s">
        <v>50</v>
      </c>
      <c r="B47" s="2" t="s">
        <v>129</v>
      </c>
      <c r="C47" s="1"/>
      <c r="D47" s="5">
        <v>6845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5">
        <v>203176</v>
      </c>
      <c r="Z47" s="5">
        <v>203032</v>
      </c>
      <c r="AA47" s="1"/>
      <c r="AB47" s="1"/>
      <c r="AC47" s="1"/>
      <c r="AD47" s="5">
        <v>165574</v>
      </c>
      <c r="AE47" s="5">
        <v>163380</v>
      </c>
      <c r="AF47" s="5">
        <v>161219</v>
      </c>
      <c r="AG47" s="5">
        <v>156638</v>
      </c>
      <c r="AH47" s="5">
        <v>152850</v>
      </c>
      <c r="AI47" s="5">
        <v>177076</v>
      </c>
    </row>
    <row r="48" spans="1:35" x14ac:dyDescent="0.25">
      <c r="A48" s="2" t="s">
        <v>47</v>
      </c>
      <c r="B48" s="2" t="s">
        <v>125</v>
      </c>
      <c r="C48" s="1"/>
      <c r="D48" s="1"/>
      <c r="E48" s="5">
        <v>14843</v>
      </c>
      <c r="F48" s="5">
        <v>115949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5">
        <v>210061</v>
      </c>
      <c r="Z48" s="5">
        <v>209909</v>
      </c>
      <c r="AA48" s="5">
        <v>213321</v>
      </c>
      <c r="AB48" s="5">
        <v>189395</v>
      </c>
      <c r="AC48" s="5">
        <v>183246</v>
      </c>
      <c r="AD48" s="5">
        <v>171183</v>
      </c>
      <c r="AE48" s="5">
        <v>168917</v>
      </c>
      <c r="AF48" s="5">
        <v>166681</v>
      </c>
      <c r="AG48" s="5">
        <v>161943</v>
      </c>
      <c r="AH48" s="5">
        <v>158028</v>
      </c>
      <c r="AI48" s="5">
        <v>155667</v>
      </c>
    </row>
    <row r="49" spans="1:35" x14ac:dyDescent="0.25">
      <c r="A49" s="2" t="s">
        <v>38</v>
      </c>
      <c r="B49" s="2" t="s">
        <v>116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5">
        <v>133729</v>
      </c>
      <c r="AG49" s="5">
        <v>129926</v>
      </c>
      <c r="AH49" s="5">
        <v>126788</v>
      </c>
      <c r="AI49" s="5">
        <v>124893</v>
      </c>
    </row>
    <row r="50" spans="1:35" x14ac:dyDescent="0.25">
      <c r="A50" s="2" t="s">
        <v>51</v>
      </c>
      <c r="B50" s="2" t="s">
        <v>130</v>
      </c>
      <c r="C50" s="1"/>
      <c r="D50" s="1"/>
      <c r="E50" s="5">
        <v>5804</v>
      </c>
      <c r="F50" s="1"/>
      <c r="G50" s="5">
        <v>49987</v>
      </c>
      <c r="H50" s="5">
        <v>49985</v>
      </c>
      <c r="I50" s="5">
        <v>48873</v>
      </c>
      <c r="J50" s="5">
        <v>47544</v>
      </c>
      <c r="K50" s="5">
        <v>49477</v>
      </c>
      <c r="L50" s="5">
        <v>48637</v>
      </c>
      <c r="M50" s="5">
        <v>40125</v>
      </c>
      <c r="N50" s="5">
        <v>40015</v>
      </c>
      <c r="O50" s="5">
        <v>42206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5">
        <v>54094</v>
      </c>
      <c r="AD50" s="5">
        <v>50534</v>
      </c>
      <c r="AE50" s="5">
        <v>49868</v>
      </c>
      <c r="AF50" s="5">
        <v>49205</v>
      </c>
      <c r="AG50" s="5">
        <v>47808</v>
      </c>
      <c r="AH50" s="5">
        <v>46651</v>
      </c>
      <c r="AI50" s="5">
        <v>45954</v>
      </c>
    </row>
    <row r="51" spans="1:35" x14ac:dyDescent="0.25">
      <c r="A51" s="2" t="s">
        <v>52</v>
      </c>
      <c r="B51" s="2" t="s">
        <v>131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5">
        <v>38086</v>
      </c>
      <c r="AH51" s="5">
        <v>37165</v>
      </c>
      <c r="AI51" s="5">
        <v>36609</v>
      </c>
    </row>
    <row r="52" spans="1:35" x14ac:dyDescent="0.25">
      <c r="A52" s="2" t="s">
        <v>53</v>
      </c>
      <c r="B52" s="2" t="s">
        <v>132</v>
      </c>
      <c r="C52" s="5">
        <v>1793</v>
      </c>
      <c r="D52" s="1"/>
      <c r="E52" s="1"/>
      <c r="F52" s="5">
        <v>45699</v>
      </c>
      <c r="G52" s="5">
        <v>49431</v>
      </c>
      <c r="H52" s="5">
        <v>49427</v>
      </c>
      <c r="I52" s="5">
        <v>48327</v>
      </c>
      <c r="J52" s="5">
        <v>47016</v>
      </c>
      <c r="K52" s="5">
        <v>48927</v>
      </c>
      <c r="L52" s="5">
        <v>48099</v>
      </c>
      <c r="M52" s="5">
        <v>57233</v>
      </c>
      <c r="N52" s="5">
        <v>57076</v>
      </c>
      <c r="O52" s="5">
        <v>60200</v>
      </c>
      <c r="P52" s="5">
        <v>59448</v>
      </c>
      <c r="Q52" s="5">
        <v>61923</v>
      </c>
      <c r="R52" s="5">
        <v>64948</v>
      </c>
      <c r="S52" s="5">
        <v>70600</v>
      </c>
      <c r="T52" s="5">
        <v>76967</v>
      </c>
      <c r="U52" s="5">
        <v>75859</v>
      </c>
      <c r="V52" s="5">
        <v>77743</v>
      </c>
      <c r="W52" s="5">
        <v>86265</v>
      </c>
      <c r="X52" s="5">
        <v>86822</v>
      </c>
      <c r="Y52" s="5">
        <v>88449</v>
      </c>
      <c r="Z52" s="5">
        <v>88389</v>
      </c>
      <c r="AA52" s="5">
        <v>89825</v>
      </c>
      <c r="AB52" s="5">
        <v>79749</v>
      </c>
      <c r="AC52" s="5">
        <v>77160</v>
      </c>
      <c r="AD52" s="5">
        <v>72082</v>
      </c>
      <c r="AE52" s="5">
        <v>71125</v>
      </c>
      <c r="AF52" s="5">
        <v>73541</v>
      </c>
      <c r="AG52" s="5">
        <v>71448</v>
      </c>
      <c r="AH52" s="5">
        <v>69724</v>
      </c>
      <c r="AI52" s="1"/>
    </row>
    <row r="53" spans="1:35" x14ac:dyDescent="0.25">
      <c r="A53" s="2" t="s">
        <v>54</v>
      </c>
      <c r="B53" s="2" t="s">
        <v>133</v>
      </c>
      <c r="C53" s="1"/>
      <c r="D53" s="1"/>
      <c r="E53" s="1"/>
      <c r="F53" s="5">
        <v>22947</v>
      </c>
      <c r="G53" s="5">
        <v>107715</v>
      </c>
      <c r="H53" s="5">
        <v>107719</v>
      </c>
      <c r="I53" s="5">
        <v>105327</v>
      </c>
      <c r="J53" s="5">
        <v>102321</v>
      </c>
      <c r="K53" s="5">
        <v>106476</v>
      </c>
      <c r="L53" s="5">
        <v>104670</v>
      </c>
      <c r="M53" s="5">
        <v>125188</v>
      </c>
      <c r="N53" s="5">
        <v>124845</v>
      </c>
      <c r="O53" s="5">
        <v>131681</v>
      </c>
      <c r="P53" s="5">
        <v>130033</v>
      </c>
      <c r="Q53" s="5">
        <v>135451</v>
      </c>
      <c r="R53" s="5">
        <v>142073</v>
      </c>
      <c r="S53" s="5">
        <v>154424</v>
      </c>
      <c r="T53" s="5">
        <v>168350</v>
      </c>
      <c r="U53" s="5">
        <v>165926</v>
      </c>
      <c r="V53" s="5">
        <v>169400</v>
      </c>
      <c r="W53" s="5">
        <v>187998</v>
      </c>
      <c r="X53" s="5">
        <v>189190</v>
      </c>
      <c r="Y53" s="5">
        <v>192501</v>
      </c>
      <c r="Z53" s="5">
        <v>192361</v>
      </c>
      <c r="AA53" s="5">
        <v>195489</v>
      </c>
      <c r="AB53" s="5">
        <v>173556</v>
      </c>
      <c r="AC53" s="5">
        <v>167924</v>
      </c>
      <c r="AD53" s="5">
        <v>156872</v>
      </c>
      <c r="AE53" s="5">
        <v>154796</v>
      </c>
      <c r="AF53" s="5">
        <v>152746</v>
      </c>
      <c r="AG53" s="5">
        <v>148403</v>
      </c>
      <c r="AH53" s="5">
        <v>144818</v>
      </c>
      <c r="AI53" s="1"/>
    </row>
    <row r="54" spans="1:35" x14ac:dyDescent="0.25">
      <c r="A54" s="2" t="s">
        <v>55</v>
      </c>
      <c r="B54" s="2" t="s">
        <v>134</v>
      </c>
      <c r="C54" s="5">
        <v>3979</v>
      </c>
      <c r="D54" s="5">
        <v>15826</v>
      </c>
      <c r="E54" s="5">
        <v>9092</v>
      </c>
      <c r="F54" s="5">
        <v>71342</v>
      </c>
      <c r="G54" s="5">
        <v>70690</v>
      </c>
      <c r="H54" s="5">
        <v>70688</v>
      </c>
      <c r="I54" s="5">
        <v>69116</v>
      </c>
      <c r="J54" s="5">
        <v>71103</v>
      </c>
      <c r="K54" s="5">
        <v>147976</v>
      </c>
      <c r="L54" s="5">
        <v>145468</v>
      </c>
      <c r="M54" s="5">
        <v>158326</v>
      </c>
      <c r="N54" s="5">
        <v>157892</v>
      </c>
      <c r="O54" s="5">
        <v>166540</v>
      </c>
      <c r="P54" s="5">
        <v>164452</v>
      </c>
      <c r="Q54" s="5">
        <v>171301</v>
      </c>
      <c r="R54" s="5">
        <v>179672</v>
      </c>
      <c r="S54" s="5">
        <v>200805</v>
      </c>
      <c r="T54" s="5">
        <v>218918</v>
      </c>
      <c r="U54" s="5">
        <v>215770</v>
      </c>
      <c r="V54" s="5">
        <v>221123</v>
      </c>
      <c r="W54" s="5">
        <v>245385</v>
      </c>
      <c r="X54" s="5">
        <v>246953</v>
      </c>
      <c r="Y54" s="5">
        <v>251583</v>
      </c>
      <c r="Z54" s="5">
        <v>251401</v>
      </c>
      <c r="AA54" s="5">
        <v>255492</v>
      </c>
      <c r="AB54" s="5">
        <v>226835</v>
      </c>
      <c r="AC54" s="5">
        <v>219471</v>
      </c>
      <c r="AD54" s="5">
        <v>205025</v>
      </c>
      <c r="AE54" s="5">
        <v>202309</v>
      </c>
      <c r="AF54" s="5">
        <v>199632</v>
      </c>
      <c r="AG54" s="1"/>
      <c r="AH54" s="1"/>
      <c r="AI54" s="1"/>
    </row>
    <row r="55" spans="1:35" x14ac:dyDescent="0.25">
      <c r="A55" s="1"/>
      <c r="B55" s="2" t="s">
        <v>135</v>
      </c>
      <c r="C55" s="5">
        <v>687</v>
      </c>
      <c r="D55" s="5">
        <v>3168</v>
      </c>
      <c r="E55" s="5">
        <v>1643</v>
      </c>
      <c r="F55" s="5">
        <v>41519</v>
      </c>
      <c r="G55" s="5">
        <v>43104</v>
      </c>
      <c r="H55" s="5">
        <v>43108</v>
      </c>
      <c r="I55" s="5">
        <v>42152</v>
      </c>
      <c r="J55" s="5">
        <v>40997</v>
      </c>
      <c r="K55" s="5">
        <v>42661</v>
      </c>
      <c r="L55" s="5">
        <v>41938</v>
      </c>
      <c r="M55" s="5">
        <v>49907</v>
      </c>
      <c r="N55" s="5">
        <v>49769</v>
      </c>
      <c r="O55" s="5">
        <v>52492</v>
      </c>
      <c r="P55" s="5">
        <v>51838</v>
      </c>
      <c r="Q55" s="5">
        <v>53998</v>
      </c>
      <c r="R55" s="5">
        <v>56638</v>
      </c>
      <c r="S55" s="5">
        <v>42040</v>
      </c>
      <c r="T55" s="5">
        <v>45832</v>
      </c>
      <c r="U55" s="5">
        <v>225853</v>
      </c>
      <c r="V55" s="5">
        <v>231462</v>
      </c>
      <c r="W55" s="5">
        <v>256864</v>
      </c>
      <c r="X55" s="5">
        <v>258502</v>
      </c>
      <c r="Y55" s="5">
        <v>263353</v>
      </c>
      <c r="Z55" s="5">
        <v>263162</v>
      </c>
      <c r="AA55" s="5">
        <v>267442</v>
      </c>
      <c r="AB55" s="5">
        <v>237446</v>
      </c>
      <c r="AC55" s="5">
        <v>216897</v>
      </c>
      <c r="AD55" s="5">
        <v>202621</v>
      </c>
      <c r="AE55" s="5">
        <v>199939</v>
      </c>
      <c r="AF55" s="1"/>
      <c r="AG55" s="1"/>
      <c r="AH55" s="1"/>
      <c r="AI55" s="1"/>
    </row>
    <row r="56" spans="1:35" x14ac:dyDescent="0.25">
      <c r="A56" s="2" t="s">
        <v>56</v>
      </c>
      <c r="B56" s="2" t="s">
        <v>136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>
        <v>105060</v>
      </c>
      <c r="AB56" s="5">
        <v>93276</v>
      </c>
      <c r="AC56" s="5">
        <v>140134</v>
      </c>
      <c r="AD56" s="5">
        <v>130909</v>
      </c>
      <c r="AE56" s="5">
        <v>129176</v>
      </c>
      <c r="AF56" s="1"/>
      <c r="AG56" s="1"/>
      <c r="AH56" s="1"/>
      <c r="AI56" s="1"/>
    </row>
    <row r="57" spans="1:35" x14ac:dyDescent="0.25">
      <c r="A57" s="2" t="s">
        <v>57</v>
      </c>
      <c r="B57" s="2" t="s">
        <v>137</v>
      </c>
      <c r="C57" s="1"/>
      <c r="D57" s="1"/>
      <c r="E57" s="1"/>
      <c r="F57" s="5">
        <v>43021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5">
        <v>64050</v>
      </c>
      <c r="T57" s="5">
        <v>69828</v>
      </c>
      <c r="U57" s="5">
        <v>68824</v>
      </c>
      <c r="V57" s="1"/>
      <c r="W57" s="1"/>
      <c r="X57" s="5">
        <v>78768</v>
      </c>
      <c r="Y57" s="5">
        <v>80243</v>
      </c>
      <c r="Z57" s="5">
        <v>80192</v>
      </c>
      <c r="AA57" s="5">
        <v>82625</v>
      </c>
      <c r="AB57" s="5">
        <v>73352</v>
      </c>
      <c r="AC57" s="5">
        <v>70974</v>
      </c>
      <c r="AD57" s="1"/>
      <c r="AE57" s="1"/>
      <c r="AF57" s="1"/>
      <c r="AG57" s="1"/>
      <c r="AH57" s="1"/>
      <c r="AI57" s="1"/>
    </row>
    <row r="58" spans="1:35" x14ac:dyDescent="0.25">
      <c r="A58" s="2" t="s">
        <v>26</v>
      </c>
      <c r="B58" s="2" t="s">
        <v>104</v>
      </c>
      <c r="C58" s="5">
        <v>61090</v>
      </c>
      <c r="D58" s="5">
        <v>235941</v>
      </c>
      <c r="E58" s="5">
        <v>152795</v>
      </c>
      <c r="F58" s="5">
        <v>1305605</v>
      </c>
      <c r="G58" s="5">
        <v>1737533</v>
      </c>
      <c r="H58" s="5">
        <v>1737533</v>
      </c>
      <c r="I58" s="5">
        <v>1716299</v>
      </c>
      <c r="J58" s="5">
        <v>1669525</v>
      </c>
      <c r="K58" s="5">
        <v>1737304</v>
      </c>
      <c r="L58" s="5">
        <v>1707861</v>
      </c>
      <c r="M58" s="5">
        <v>2032336</v>
      </c>
      <c r="N58" s="5">
        <v>2026773</v>
      </c>
      <c r="O58" s="5">
        <v>2137747</v>
      </c>
      <c r="P58" s="5">
        <v>2110995</v>
      </c>
      <c r="Q58" s="5">
        <v>2198952</v>
      </c>
      <c r="R58" s="5">
        <v>2306444</v>
      </c>
      <c r="S58" s="5">
        <v>2343291</v>
      </c>
      <c r="T58" s="5">
        <v>2554643</v>
      </c>
      <c r="U58" s="5">
        <v>2517887</v>
      </c>
      <c r="V58" s="5">
        <v>2580350</v>
      </c>
      <c r="W58" s="5">
        <v>1996335</v>
      </c>
      <c r="X58" s="5">
        <v>2009096</v>
      </c>
      <c r="Y58" s="5">
        <v>2046755</v>
      </c>
      <c r="Z58" s="5">
        <v>2045304</v>
      </c>
      <c r="AA58" s="5">
        <v>2078558</v>
      </c>
      <c r="AB58" s="5">
        <v>1928453</v>
      </c>
      <c r="AC58" s="1"/>
      <c r="AD58" s="1"/>
      <c r="AE58" s="1"/>
      <c r="AF58" s="1"/>
      <c r="AG58" s="1"/>
      <c r="AH58" s="1"/>
      <c r="AI58" s="1"/>
    </row>
    <row r="59" spans="1:35" x14ac:dyDescent="0.25">
      <c r="A59" s="2" t="s">
        <v>44</v>
      </c>
      <c r="B59" s="2" t="s">
        <v>122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5">
        <v>85189</v>
      </c>
      <c r="W59" s="5">
        <v>94546</v>
      </c>
      <c r="X59" s="5">
        <v>127687</v>
      </c>
      <c r="Y59" s="5">
        <v>130083</v>
      </c>
      <c r="Z59" s="5">
        <v>129989</v>
      </c>
      <c r="AA59" s="5">
        <v>132104</v>
      </c>
      <c r="AB59" s="5">
        <v>117286</v>
      </c>
      <c r="AC59" s="1"/>
      <c r="AD59" s="1"/>
      <c r="AE59" s="1"/>
      <c r="AF59" s="1"/>
      <c r="AG59" s="1"/>
      <c r="AH59" s="1"/>
      <c r="AI59" s="1"/>
    </row>
    <row r="60" spans="1:35" x14ac:dyDescent="0.25">
      <c r="A60" s="2" t="s">
        <v>58</v>
      </c>
      <c r="B60" s="2" t="s">
        <v>138</v>
      </c>
      <c r="C60" s="5">
        <v>2290</v>
      </c>
      <c r="D60" s="5">
        <v>8179</v>
      </c>
      <c r="E60" s="5">
        <v>5256</v>
      </c>
      <c r="F60" s="5">
        <v>40819</v>
      </c>
      <c r="G60" s="5">
        <v>55453</v>
      </c>
      <c r="H60" s="5">
        <v>55453</v>
      </c>
      <c r="I60" s="5">
        <v>54221</v>
      </c>
      <c r="J60" s="5">
        <v>47621</v>
      </c>
      <c r="K60" s="5">
        <v>49554</v>
      </c>
      <c r="L60" s="5">
        <v>48714</v>
      </c>
      <c r="M60" s="5">
        <v>57971</v>
      </c>
      <c r="N60" s="5">
        <v>57811</v>
      </c>
      <c r="O60" s="5">
        <v>71117</v>
      </c>
      <c r="P60" s="5">
        <v>70316</v>
      </c>
      <c r="Q60" s="5">
        <v>73250</v>
      </c>
      <c r="R60" s="5">
        <v>76825</v>
      </c>
      <c r="S60" s="5">
        <v>83501</v>
      </c>
      <c r="T60" s="5">
        <v>91034</v>
      </c>
      <c r="U60" s="5">
        <v>89726</v>
      </c>
      <c r="V60" s="5">
        <v>91951</v>
      </c>
      <c r="W60" s="5">
        <v>102033</v>
      </c>
      <c r="X60" s="5">
        <v>102691</v>
      </c>
      <c r="Y60" s="5">
        <v>104617</v>
      </c>
      <c r="Z60" s="5">
        <v>104542</v>
      </c>
      <c r="AA60" s="1"/>
      <c r="AB60" s="1"/>
      <c r="AC60" s="1"/>
      <c r="AD60" s="1"/>
      <c r="AE60" s="1"/>
      <c r="AF60" s="1"/>
      <c r="AG60" s="1"/>
      <c r="AH60" s="1"/>
      <c r="AI60" s="1"/>
    </row>
    <row r="61" spans="1:35" x14ac:dyDescent="0.25">
      <c r="A61" s="2" t="s">
        <v>59</v>
      </c>
      <c r="B61" s="2" t="s">
        <v>139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>
        <v>95378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x14ac:dyDescent="0.25">
      <c r="A62" s="2" t="s">
        <v>60</v>
      </c>
      <c r="B62" s="2" t="s">
        <v>140</v>
      </c>
      <c r="C62" s="5">
        <v>7208</v>
      </c>
      <c r="D62" s="5">
        <v>30788</v>
      </c>
      <c r="E62" s="5">
        <v>16022</v>
      </c>
      <c r="F62" s="5">
        <v>123907</v>
      </c>
      <c r="G62" s="5">
        <v>128639</v>
      </c>
      <c r="H62" s="5">
        <v>128637</v>
      </c>
      <c r="I62" s="5">
        <v>125777</v>
      </c>
      <c r="J62" s="5">
        <v>120109</v>
      </c>
      <c r="K62" s="5">
        <v>124988</v>
      </c>
      <c r="L62" s="5">
        <v>122870</v>
      </c>
      <c r="M62" s="5">
        <v>146211</v>
      </c>
      <c r="N62" s="5">
        <v>145810</v>
      </c>
      <c r="O62" s="5">
        <v>153793</v>
      </c>
      <c r="P62" s="5">
        <v>151869</v>
      </c>
      <c r="Q62" s="5">
        <v>158196</v>
      </c>
      <c r="R62" s="5">
        <v>165929</v>
      </c>
      <c r="S62" s="5">
        <v>180354</v>
      </c>
      <c r="T62" s="5">
        <v>196622</v>
      </c>
      <c r="U62" s="5">
        <v>193794</v>
      </c>
      <c r="V62" s="5">
        <v>147794</v>
      </c>
      <c r="W62" s="5">
        <v>164020</v>
      </c>
      <c r="X62" s="5">
        <v>165060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x14ac:dyDescent="0.25">
      <c r="A63" s="2" t="s">
        <v>61</v>
      </c>
      <c r="B63" s="2" t="s">
        <v>141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>
        <v>76858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x14ac:dyDescent="0.25">
      <c r="A64" s="2" t="s">
        <v>62</v>
      </c>
      <c r="B64" s="2" t="s">
        <v>142</v>
      </c>
      <c r="C64" s="1"/>
      <c r="D64" s="1"/>
      <c r="E64" s="1"/>
      <c r="F64" s="5">
        <v>22791</v>
      </c>
      <c r="G64" s="5">
        <v>24170</v>
      </c>
      <c r="H64" s="5">
        <v>24172</v>
      </c>
      <c r="I64" s="5">
        <v>23636</v>
      </c>
      <c r="J64" s="5">
        <v>22989</v>
      </c>
      <c r="K64" s="5">
        <v>23921</v>
      </c>
      <c r="L64" s="5">
        <v>23516</v>
      </c>
      <c r="M64" s="5">
        <v>27986</v>
      </c>
      <c r="N64" s="5">
        <v>27909</v>
      </c>
      <c r="O64" s="5">
        <v>29439</v>
      </c>
      <c r="P64" s="5">
        <v>29070</v>
      </c>
      <c r="Q64" s="5">
        <v>30285</v>
      </c>
      <c r="R64" s="5">
        <v>31770</v>
      </c>
      <c r="S64" s="5">
        <v>32358</v>
      </c>
      <c r="T64" s="5">
        <v>35276</v>
      </c>
      <c r="U64" s="5">
        <v>34768</v>
      </c>
      <c r="V64" s="5">
        <v>35629</v>
      </c>
      <c r="W64" s="5">
        <v>39535</v>
      </c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x14ac:dyDescent="0.25">
      <c r="A65" s="2" t="s">
        <v>63</v>
      </c>
      <c r="B65" s="2" t="s">
        <v>143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5">
        <v>52578</v>
      </c>
      <c r="W65" s="5">
        <v>58350</v>
      </c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x14ac:dyDescent="0.25">
      <c r="A66" s="2" t="s">
        <v>64</v>
      </c>
      <c r="B66" s="2" t="s">
        <v>144</v>
      </c>
      <c r="C66" s="1"/>
      <c r="D66" s="1"/>
      <c r="E66" s="5">
        <v>1804</v>
      </c>
      <c r="F66" s="5">
        <v>114183</v>
      </c>
      <c r="G66" s="5">
        <v>119503</v>
      </c>
      <c r="H66" s="5">
        <v>119505</v>
      </c>
      <c r="I66" s="5">
        <v>116849</v>
      </c>
      <c r="J66" s="5">
        <v>113662</v>
      </c>
      <c r="K66" s="5">
        <v>118279</v>
      </c>
      <c r="L66" s="5">
        <v>116275</v>
      </c>
      <c r="M66" s="5">
        <v>155451</v>
      </c>
      <c r="N66" s="5">
        <v>155026</v>
      </c>
      <c r="O66" s="5">
        <v>163512</v>
      </c>
      <c r="P66" s="5">
        <v>161462</v>
      </c>
      <c r="Q66" s="5">
        <v>168194</v>
      </c>
      <c r="R66" s="5">
        <v>176411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x14ac:dyDescent="0.25">
      <c r="A67" s="2" t="s">
        <v>65</v>
      </c>
      <c r="B67" s="2" t="s">
        <v>145</v>
      </c>
      <c r="C67" s="1"/>
      <c r="D67" s="1"/>
      <c r="E67" s="1"/>
      <c r="F67" s="1"/>
      <c r="G67" s="5">
        <v>110914</v>
      </c>
      <c r="H67" s="5">
        <v>110916</v>
      </c>
      <c r="I67" s="5">
        <v>108452</v>
      </c>
      <c r="J67" s="5">
        <v>105493</v>
      </c>
      <c r="K67" s="5">
        <v>109779</v>
      </c>
      <c r="L67" s="5">
        <v>107919</v>
      </c>
      <c r="M67" s="5">
        <v>117022</v>
      </c>
      <c r="N67" s="5">
        <v>116701</v>
      </c>
      <c r="O67" s="5">
        <v>123089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x14ac:dyDescent="0.25">
      <c r="A68" s="2" t="s">
        <v>66</v>
      </c>
      <c r="B68" s="2" t="s">
        <v>146</v>
      </c>
      <c r="C68" s="1"/>
      <c r="D68" s="5">
        <v>7419</v>
      </c>
      <c r="E68" s="1"/>
      <c r="F68" s="5">
        <v>31008</v>
      </c>
      <c r="G68" s="5">
        <v>32192</v>
      </c>
      <c r="H68" s="5">
        <v>32190</v>
      </c>
      <c r="I68" s="5">
        <v>31474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x14ac:dyDescent="0.25">
      <c r="A69" s="2" t="s">
        <v>67</v>
      </c>
      <c r="B69" s="2" t="s">
        <v>147</v>
      </c>
      <c r="C69" s="1"/>
      <c r="D69" s="5">
        <v>3769</v>
      </c>
      <c r="E69" s="1"/>
      <c r="F69" s="1"/>
      <c r="G69" s="5">
        <v>207486</v>
      </c>
      <c r="H69" s="5">
        <v>207484</v>
      </c>
      <c r="I69" s="5">
        <v>202872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x14ac:dyDescent="0.25">
      <c r="A70" s="2" t="s">
        <v>68</v>
      </c>
      <c r="B70" s="2" t="s">
        <v>148</v>
      </c>
      <c r="C70" s="1"/>
      <c r="D70" s="1"/>
      <c r="E70" s="5">
        <v>11656</v>
      </c>
      <c r="F70" s="5">
        <v>73226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x14ac:dyDescent="0.25">
      <c r="A71" s="1"/>
      <c r="B71" s="2" t="s">
        <v>149</v>
      </c>
      <c r="C71" s="1"/>
      <c r="D71" s="1"/>
      <c r="E71" s="5">
        <v>22220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x14ac:dyDescent="0.25">
      <c r="A72" s="2" t="s">
        <v>69</v>
      </c>
      <c r="B72" s="2" t="s">
        <v>150</v>
      </c>
      <c r="C72" s="5">
        <v>3982</v>
      </c>
      <c r="D72" s="5">
        <v>11391</v>
      </c>
      <c r="E72" s="5">
        <v>4517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x14ac:dyDescent="0.25">
      <c r="A73" s="2" t="s">
        <v>70</v>
      </c>
      <c r="B73" s="2" t="s">
        <v>151</v>
      </c>
      <c r="C73" s="1"/>
      <c r="D73" s="1"/>
      <c r="E73" s="5">
        <v>19288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x14ac:dyDescent="0.25">
      <c r="A74" s="2" t="s">
        <v>71</v>
      </c>
      <c r="B74" s="2" t="s">
        <v>152</v>
      </c>
      <c r="C74" s="5">
        <v>5527</v>
      </c>
      <c r="D74" s="5">
        <v>22203</v>
      </c>
      <c r="E74" s="5">
        <v>11063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x14ac:dyDescent="0.25">
      <c r="A75" s="2" t="s">
        <v>72</v>
      </c>
      <c r="B75" s="2" t="s">
        <v>153</v>
      </c>
      <c r="C75" s="5">
        <v>949</v>
      </c>
      <c r="D75" s="5">
        <v>3812</v>
      </c>
      <c r="E75" s="5">
        <v>4384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x14ac:dyDescent="0.25">
      <c r="A76" s="2" t="s">
        <v>73</v>
      </c>
      <c r="B76" s="2" t="s">
        <v>154</v>
      </c>
      <c r="C76" s="5">
        <v>2153</v>
      </c>
      <c r="D76" s="5">
        <v>8647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x14ac:dyDescent="0.25">
      <c r="A77" s="2" t="s">
        <v>74</v>
      </c>
      <c r="B77" s="2" t="s">
        <v>155</v>
      </c>
      <c r="C77" s="5">
        <v>13589</v>
      </c>
      <c r="D77" s="5">
        <v>49625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x14ac:dyDescent="0.25">
      <c r="A78" s="2" t="s">
        <v>75</v>
      </c>
      <c r="B78" s="2" t="s">
        <v>156</v>
      </c>
      <c r="C78" s="5">
        <v>3116</v>
      </c>
      <c r="D78" s="5">
        <v>12517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x14ac:dyDescent="0.25">
      <c r="A79" s="2" t="s">
        <v>76</v>
      </c>
      <c r="B79" s="2" t="s">
        <v>157</v>
      </c>
      <c r="C79" s="5">
        <v>1127</v>
      </c>
      <c r="D79" s="5">
        <v>4470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x14ac:dyDescent="0.25">
      <c r="A80" s="1"/>
      <c r="B80" s="2" t="s">
        <v>158</v>
      </c>
      <c r="C80" s="5">
        <v>2368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x14ac:dyDescent="0.25">
      <c r="A81" s="2" t="s">
        <v>77</v>
      </c>
      <c r="B81" s="2" t="s">
        <v>159</v>
      </c>
      <c r="C81" s="5">
        <v>1494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wgt</vt:lpstr>
      <vt:lpstr>mkt val</vt:lpstr>
      <vt:lpstr>no of shares</vt:lpstr>
    </vt:vector>
  </TitlesOfParts>
  <Company>Brandeis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2014-07-15T18:37:16Z</dcterms:created>
  <dcterms:modified xsi:type="dcterms:W3CDTF">2014-07-15T18:47:30Z</dcterms:modified>
</cp:coreProperties>
</file>